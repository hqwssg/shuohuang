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myfile\MyProg\SOLO\proj-1\tpfhs-8\"/>
    </mc:Choice>
  </mc:AlternateContent>
  <xr:revisionPtr revIDLastSave="0" documentId="13_ncr:1_{338BE82D-E9C6-49E8-848D-E28D2DD1FB9B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化石燃料排放因子库" sheetId="1" r:id="rId1"/>
    <sheet name="电力碳排放因子库" sheetId="3" r:id="rId2"/>
    <sheet name="热力排放因子" sheetId="2" r:id="rId3"/>
    <sheet name="质量单位计量的热水" sheetId="4" r:id="rId4"/>
    <sheet name="饱和蒸汽热焓值" sheetId="5" r:id="rId5"/>
    <sheet name="过热蒸汽热焓值" sheetId="6" r:id="rId6"/>
    <sheet name="固体废弃物焚烧排放因子" sheetId="7" r:id="rId7"/>
    <sheet name="废水处理排放因子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2" i="8"/>
  <c r="F3" i="7"/>
  <c r="F2" i="7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</calcChain>
</file>

<file path=xl/sharedStrings.xml><?xml version="1.0" encoding="utf-8"?>
<sst xmlns="http://schemas.openxmlformats.org/spreadsheetml/2006/main" count="198" uniqueCount="96">
  <si>
    <t>计量单位</t>
  </si>
  <si>
    <t>低位发热量</t>
  </si>
  <si>
    <t>单位热值含碳量</t>
  </si>
  <si>
    <t>燃料氧化率</t>
  </si>
  <si>
    <t>烟煤</t>
  </si>
  <si>
    <t>t</t>
  </si>
  <si>
    <t>褐煤</t>
  </si>
  <si>
    <t>焦炭</t>
  </si>
  <si>
    <t>石油焦</t>
  </si>
  <si>
    <t>原油</t>
  </si>
  <si>
    <t>燃料油</t>
  </si>
  <si>
    <t>汽油</t>
  </si>
  <si>
    <t>柴油</t>
  </si>
  <si>
    <t>液化天然气</t>
  </si>
  <si>
    <t>液化石油气</t>
  </si>
  <si>
    <t>天然气</t>
  </si>
  <si>
    <r>
      <t>10</t>
    </r>
    <r>
      <rPr>
        <vertAlign val="super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 xml:space="preserve"> Nm</t>
    </r>
    <r>
      <rPr>
        <vertAlign val="superscript"/>
        <sz val="9"/>
        <color theme="1"/>
        <rFont val="Times New Roman"/>
        <family val="1"/>
      </rPr>
      <t>3</t>
    </r>
  </si>
  <si>
    <t>高炉煤气</t>
  </si>
  <si>
    <t>转炉煤气</t>
  </si>
  <si>
    <t>焦炉煤气</t>
  </si>
  <si>
    <t>燃料品种</t>
    <phoneticPr fontId="1" type="noConversion"/>
  </si>
  <si>
    <t>碳排放因子</t>
    <phoneticPr fontId="1" type="noConversion"/>
  </si>
  <si>
    <t>来源</t>
    <phoneticPr fontId="1" type="noConversion"/>
  </si>
  <si>
    <t>缺省值</t>
    <phoneticPr fontId="1" type="noConversion"/>
  </si>
  <si>
    <t>碳排放因子名称</t>
  </si>
  <si>
    <t>碳排放因子</t>
  </si>
  <si>
    <t>单位</t>
  </si>
  <si>
    <t>碳排放因子说明</t>
  </si>
  <si>
    <t>2023年全国电力碳排放因子</t>
    <phoneticPr fontId="1" type="noConversion"/>
  </si>
  <si>
    <r>
      <t>kgCO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等线"/>
        <family val="2"/>
        <scheme val="minor"/>
      </rPr>
      <t>/kWh</t>
    </r>
    <phoneticPr fontId="1" type="noConversion"/>
  </si>
  <si>
    <t>生态环境部和国家统计局‌2025年12月31日联合发布的2023年官方数据，包含所有电源类型的全国电力平均二氧化碳排放因子。</t>
    <phoneticPr fontId="1" type="noConversion"/>
  </si>
  <si>
    <t>2022山西省电力碳排放因子</t>
    <phoneticPr fontId="1" type="noConversion"/>
  </si>
  <si>
    <t>‌0.7096</t>
    <phoneticPr fontId="1" type="noConversion"/>
  </si>
  <si>
    <t>生态环境部、国家统计局正式发布的2022年完整官方省级电力平均二氧化碳排放因子。</t>
    <phoneticPr fontId="1" type="noConversion"/>
  </si>
  <si>
    <t>2022河北省电力碳排放因子</t>
    <phoneticPr fontId="1" type="noConversion"/>
  </si>
  <si>
    <t>‌0.7252</t>
    <phoneticPr fontId="1" type="noConversion"/>
  </si>
  <si>
    <t>2022山东省电力碳排放因子</t>
    <phoneticPr fontId="1" type="noConversion"/>
  </si>
  <si>
    <t>生态环境部、国家统计局正式发布的2023年完整官方省级电力平均二氧化碳排放因子。</t>
  </si>
  <si>
    <t>生态环境部、国家统计局正式发布的2024年完整官方省级电力平均二氧化碳排放因子。</t>
  </si>
  <si>
    <t>2022天津市电力碳排放因子</t>
  </si>
  <si>
    <r>
      <t>全国层面未发布统一分区热力排放因子时，公开规则明确热力消费排放因子‌缺省推荐值为0.11 tCO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等线"/>
        <family val="2"/>
        <scheme val="minor"/>
      </rPr>
      <t>/GJ‌，适用于国家温室气体排放因子数据库未发布对应数据的场景。该数值被《公共机构碳排放核算指南》、环境影响评价报告书等多个权威文件采纳，是目前全国通用的默认参考值。</t>
    </r>
    <phoneticPr fontId="1" type="noConversion"/>
  </si>
  <si>
    <r>
      <t xml:space="preserve"> tCO</t>
    </r>
    <r>
      <rPr>
        <sz val="11"/>
        <color theme="1"/>
        <rFont val="Tahoma"/>
        <family val="2"/>
        <charset val="1"/>
      </rPr>
      <t>₂</t>
    </r>
    <r>
      <rPr>
        <sz val="11"/>
        <color theme="1"/>
        <rFont val="等线"/>
        <family val="2"/>
        <scheme val="minor"/>
      </rPr>
      <t>/GJ</t>
    </r>
    <phoneticPr fontId="1" type="noConversion"/>
  </si>
  <si>
    <t>全国统一热力排放因子缺省值</t>
    <phoneticPr fontId="1" type="noConversion"/>
  </si>
  <si>
    <t>碳排放因子说明</t>
    <phoneticPr fontId="1" type="noConversion"/>
  </si>
  <si>
    <t>数据取值来源为《2005 中国温室气体清单研究》、《省级温室气体清单编制指南（2025）》</t>
    <phoneticPr fontId="1" type="noConversion"/>
  </si>
  <si>
    <t>数据取值来源为《2006年 IPCC国家温室气体清单指南》及2019修订版、《省级温室气体清单编制指南（2025）》</t>
    <phoneticPr fontId="1" type="noConversion"/>
  </si>
  <si>
    <t>数据取值来源为《中国能源统计年鉴2023》、《省级温室气体清单编制指南（2025）》</t>
    <phoneticPr fontId="1" type="noConversion"/>
  </si>
  <si>
    <t>数据取值来源为数据取值来源为GB/T 2589—2020、《省级温室气体清单编制指南（2025）》</t>
    <phoneticPr fontId="1" type="noConversion"/>
  </si>
  <si>
    <t>数据取值来源为《2005 中国温室气体清单研究》、《中国能源统计年鉴2023》、《省级温室气体清单编制指南（2025）》</t>
    <phoneticPr fontId="1" type="noConversion"/>
  </si>
  <si>
    <t>单位</t>
    <phoneticPr fontId="1" type="noConversion"/>
  </si>
  <si>
    <t>注;直接套用公式计算热水的热量值，但是在碳排放因子输入框需要输入热水的温度值，利用该温度值才能计算对应的热量值。</t>
    <phoneticPr fontId="1" type="noConversion"/>
  </si>
  <si>
    <t>温度</t>
  </si>
  <si>
    <t>气压</t>
  </si>
  <si>
    <t>热焓值</t>
  </si>
  <si>
    <t>生活垃圾</t>
    <phoneticPr fontId="1" type="noConversion"/>
  </si>
  <si>
    <t>危险废物</t>
    <phoneticPr fontId="1" type="noConversion"/>
  </si>
  <si>
    <t>说明</t>
    <phoneticPr fontId="1" type="noConversion"/>
  </si>
  <si>
    <t>机车检修、车辆清洗废水</t>
    <phoneticPr fontId="1" type="noConversion"/>
  </si>
  <si>
    <t>处理工艺</t>
    <phoneticPr fontId="1" type="noConversion"/>
  </si>
  <si>
    <t>处理废水种类</t>
    <phoneticPr fontId="1" type="noConversion"/>
  </si>
  <si>
    <t>化粪池</t>
    <phoneticPr fontId="1" type="noConversion"/>
  </si>
  <si>
    <t>数据来源《省级温室气体清单编制指南（2025年版）》</t>
    <phoneticPr fontId="1" type="noConversion"/>
  </si>
  <si>
    <t>厌氧处理系统</t>
    <phoneticPr fontId="1" type="noConversion"/>
  </si>
  <si>
    <t>好氧处理系统</t>
    <phoneticPr fontId="1" type="noConversion"/>
  </si>
  <si>
    <t>生活污水</t>
    <phoneticPr fontId="1" type="noConversion"/>
  </si>
  <si>
    <t>直接排放</t>
    <phoneticPr fontId="1" type="noConversion"/>
  </si>
  <si>
    <t>需氧浓度系数500mg/L是GB/T 31962-2015标准中给出的污水排入城镇下水道水质控制项目限值</t>
    <phoneticPr fontId="1" type="noConversion"/>
  </si>
  <si>
    <r>
      <t>需氧浓度系数200mg/L是《水污染控制工程》《废水工程》等国内外经典给排水专业教材中，普通市政生活污水BOD</t>
    </r>
    <r>
      <rPr>
        <sz val="11"/>
        <color theme="1"/>
        <rFont val="Tahoma"/>
        <family val="2"/>
        <charset val="1"/>
      </rPr>
      <t>₅</t>
    </r>
    <r>
      <rPr>
        <sz val="11"/>
        <color theme="1"/>
        <rFont val="等线"/>
        <family val="2"/>
        <scheme val="minor"/>
      </rPr>
      <t>浓度的典型推荐取值</t>
    </r>
    <phoneticPr fontId="1" type="noConversion"/>
  </si>
  <si>
    <r>
      <t>需氧浓度系数201mg/L是《水污染控制工程》《废水工程》等国内外经典给排水专业教材中，普通市政生活污水BOD₅浓度的典型推荐取值</t>
    </r>
    <r>
      <rPr>
        <sz val="11"/>
        <color theme="1"/>
        <rFont val="等线"/>
        <family val="2"/>
        <scheme val="minor"/>
      </rPr>
      <t/>
    </r>
  </si>
  <si>
    <r>
      <t>需氧浓度系数202mg/L是《水污染控制工程》《废水工程》等国内外经典给排水专业教材中，普通市政生活污水BOD₅浓度的典型推荐取值</t>
    </r>
    <r>
      <rPr>
        <sz val="11"/>
        <color theme="1"/>
        <rFont val="等线"/>
        <family val="2"/>
        <scheme val="minor"/>
      </rPr>
      <t/>
    </r>
  </si>
  <si>
    <r>
      <t>tCO</t>
    </r>
    <r>
      <rPr>
        <sz val="9"/>
        <color theme="1"/>
        <rFont val="等线"/>
        <family val="3"/>
        <charset val="134"/>
        <scheme val="minor"/>
      </rPr>
      <t>2</t>
    </r>
    <r>
      <rPr>
        <sz val="9"/>
        <color theme="1"/>
        <rFont val="等线"/>
        <family val="2"/>
        <scheme val="minor"/>
      </rPr>
      <t>/t</t>
    </r>
    <phoneticPr fontId="1" type="noConversion"/>
  </si>
  <si>
    <r>
      <t>10</t>
    </r>
    <r>
      <rPr>
        <vertAlign val="superscript"/>
        <sz val="9"/>
        <color theme="1"/>
        <rFont val="Times New Roman"/>
        <family val="1"/>
      </rPr>
      <t>4</t>
    </r>
    <r>
      <rPr>
        <sz val="9"/>
        <color theme="1"/>
        <rFont val="Times New Roman"/>
        <family val="1"/>
      </rPr>
      <t xml:space="preserve"> Nm</t>
    </r>
    <r>
      <rPr>
        <vertAlign val="superscript"/>
        <sz val="9"/>
        <color theme="1"/>
        <rFont val="Times New Roman"/>
        <family val="1"/>
      </rPr>
      <t>3</t>
    </r>
    <phoneticPr fontId="1" type="noConversion"/>
  </si>
  <si>
    <r>
      <t>tCO</t>
    </r>
    <r>
      <rPr>
        <sz val="9"/>
        <color theme="1"/>
        <rFont val="等线"/>
        <family val="3"/>
        <charset val="134"/>
        <scheme val="minor"/>
      </rPr>
      <t>2</t>
    </r>
    <r>
      <rPr>
        <sz val="9"/>
        <color theme="1"/>
        <rFont val="等线"/>
        <family val="2"/>
        <scheme val="minor"/>
      </rPr>
      <t>/10</t>
    </r>
    <r>
      <rPr>
        <vertAlign val="superscript"/>
        <sz val="9"/>
        <color theme="1"/>
        <rFont val="等线"/>
        <family val="3"/>
        <charset val="134"/>
        <scheme val="minor"/>
      </rPr>
      <t>4</t>
    </r>
    <r>
      <rPr>
        <sz val="9"/>
        <color theme="1"/>
        <rFont val="等线"/>
        <family val="2"/>
        <scheme val="minor"/>
      </rPr>
      <t xml:space="preserve"> Nm</t>
    </r>
    <r>
      <rPr>
        <vertAlign val="superscript"/>
        <sz val="9"/>
        <color theme="1"/>
        <rFont val="等线"/>
        <family val="3"/>
        <charset val="134"/>
        <scheme val="minor"/>
      </rPr>
      <t>3</t>
    </r>
    <phoneticPr fontId="1" type="noConversion"/>
  </si>
  <si>
    <r>
      <t>压力（</t>
    </r>
    <r>
      <rPr>
        <sz val="9"/>
        <color rgb="FF000000"/>
        <rFont val="Times New Roman"/>
        <family val="1"/>
      </rPr>
      <t>Mpa</t>
    </r>
    <r>
      <rPr>
        <sz val="9"/>
        <color rgb="FF000000"/>
        <rFont val="宋体"/>
        <family val="3"/>
        <charset val="134"/>
      </rPr>
      <t>）</t>
    </r>
    <phoneticPr fontId="1" type="noConversion"/>
  </si>
  <si>
    <r>
      <t>焓（</t>
    </r>
    <r>
      <rPr>
        <sz val="9"/>
        <color rgb="FF000000"/>
        <rFont val="Times New Roman"/>
        <family val="1"/>
      </rPr>
      <t>KJ/kg</t>
    </r>
    <r>
      <rPr>
        <sz val="9"/>
        <color rgb="FF000000"/>
        <rFont val="宋体"/>
        <family val="3"/>
        <charset val="134"/>
      </rPr>
      <t>）</t>
    </r>
    <phoneticPr fontId="1" type="noConversion"/>
  </si>
  <si>
    <r>
      <t>温度（</t>
    </r>
    <r>
      <rPr>
        <sz val="9"/>
        <color rgb="FF000000"/>
        <rFont val="宋体"/>
        <family val="1"/>
        <charset val="134"/>
      </rPr>
      <t>°</t>
    </r>
    <r>
      <rPr>
        <sz val="9"/>
        <color rgb="FF000000"/>
        <rFont val="Times New Roman"/>
        <family val="1"/>
      </rPr>
      <t>C</t>
    </r>
    <r>
      <rPr>
        <sz val="9"/>
        <color rgb="FF000000"/>
        <rFont val="宋体"/>
        <family val="3"/>
        <charset val="134"/>
      </rPr>
      <t>）</t>
    </r>
    <phoneticPr fontId="1" type="noConversion"/>
  </si>
  <si>
    <t>碳排放因子(单位：tGH4/立方米)</t>
    <phoneticPr fontId="1" type="noConversion"/>
  </si>
  <si>
    <t>机车检修、车辆清洗废水-厌氧处理</t>
    <phoneticPr fontId="1" type="noConversion"/>
  </si>
  <si>
    <t>机车检修、车辆清洗废水-直接排放</t>
    <phoneticPr fontId="1" type="noConversion"/>
  </si>
  <si>
    <t>生活污水-化粪池</t>
    <phoneticPr fontId="1" type="noConversion"/>
  </si>
  <si>
    <t>生活污水-厌氧处理系统</t>
    <phoneticPr fontId="1" type="noConversion"/>
  </si>
  <si>
    <t>生活污水-好氧处理系统</t>
    <phoneticPr fontId="1" type="noConversion"/>
  </si>
  <si>
    <t>碳排放因子名称</t>
    <phoneticPr fontId="1" type="noConversion"/>
  </si>
  <si>
    <t>生活垃圾焚烧</t>
    <phoneticPr fontId="1" type="noConversion"/>
  </si>
  <si>
    <t>危险废物焚烧</t>
    <phoneticPr fontId="1" type="noConversion"/>
  </si>
  <si>
    <t>烟煤</t>
    <phoneticPr fontId="1" type="noConversion"/>
  </si>
  <si>
    <t>固体废物种类</t>
    <phoneticPr fontId="1" type="noConversion"/>
  </si>
  <si>
    <t>CCW</t>
    <phoneticPr fontId="1" type="noConversion"/>
  </si>
  <si>
    <t>FCF</t>
    <phoneticPr fontId="1" type="noConversion"/>
  </si>
  <si>
    <t>CE</t>
    <phoneticPr fontId="1" type="noConversion"/>
  </si>
  <si>
    <t>tCO2/t固体废物</t>
    <phoneticPr fontId="1" type="noConversion"/>
  </si>
  <si>
    <t>tGH4/立方米</t>
  </si>
  <si>
    <t>OD</t>
    <phoneticPr fontId="1" type="noConversion"/>
  </si>
  <si>
    <t>Bo</t>
    <phoneticPr fontId="1" type="noConversion"/>
  </si>
  <si>
    <t>MCF</t>
    <phoneticPr fontId="1" type="noConversion"/>
  </si>
  <si>
    <t>GWP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</si>
</sst>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_);[Red]\(0.00\)"/>
    <numFmt numFmtId="178" formatCode="0.0"/>
  </numFmts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Tahoma"/>
      <family val="2"/>
      <charset val="1"/>
    </font>
    <font>
      <b/>
      <sz val="10.5"/>
      <color rgb="FF333333"/>
      <name val="Arial"/>
      <family val="2"/>
    </font>
    <font>
      <sz val="11"/>
      <color theme="1"/>
      <name val="MS Gothic"/>
      <family val="3"/>
      <charset val="128"/>
    </font>
    <font>
      <sz val="9"/>
      <color theme="1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Calibri"/>
      <family val="2"/>
    </font>
    <font>
      <vertAlign val="superscript"/>
      <sz val="9"/>
      <color theme="1"/>
      <name val="等线"/>
      <family val="3"/>
      <charset val="134"/>
      <scheme val="minor"/>
    </font>
    <font>
      <sz val="9"/>
      <color rgb="FF000000"/>
      <name val="宋体"/>
      <family val="1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3" fillId="0" borderId="0" applyNumberFormat="0" applyFont="0" applyFill="0" applyBorder="0" applyProtection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176" fontId="0" fillId="0" borderId="0" xfId="0" applyNumberForma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2" fillId="0" borderId="5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177" fontId="14" fillId="2" borderId="0" xfId="0" applyNumberFormat="1" applyFont="1" applyFill="1" applyAlignment="1">
      <alignment horizontal="center" vertical="center"/>
    </xf>
    <xf numFmtId="178" fontId="15" fillId="3" borderId="0" xfId="0" applyNumberFormat="1" applyFont="1" applyFill="1" applyAlignment="1">
      <alignment horizontal="right" vertical="center"/>
    </xf>
    <xf numFmtId="177" fontId="15" fillId="3" borderId="0" xfId="0" applyNumberFormat="1" applyFont="1" applyFill="1" applyAlignment="1">
      <alignment horizontal="right" vertical="center"/>
    </xf>
    <xf numFmtId="178" fontId="15" fillId="0" borderId="0" xfId="0" applyNumberFormat="1" applyFont="1" applyAlignment="1">
      <alignment horizontal="right" vertical="center"/>
    </xf>
    <xf numFmtId="177" fontId="15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0" fontId="0" fillId="0" borderId="10" xfId="0" applyBorder="1"/>
  </cellXfs>
  <cellStyles count="2">
    <cellStyle name="常规" xfId="0" builtinId="0"/>
    <cellStyle name="常规 2" xfId="1" xr:uid="{F7A27F40-33D2-40BC-AFD1-167DFDB153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5"/>
  <sheetViews>
    <sheetView zoomScale="130" zoomScaleNormal="130" workbookViewId="0">
      <selection activeCell="A2" sqref="A2"/>
    </sheetView>
  </sheetViews>
  <sheetFormatPr defaultRowHeight="13.8" x14ac:dyDescent="0.25"/>
  <cols>
    <col min="1" max="1" width="16.109375" bestFit="1" customWidth="1"/>
    <col min="2" max="2" width="9.88671875" bestFit="1" customWidth="1"/>
    <col min="3" max="3" width="7" customWidth="1"/>
    <col min="5" max="5" width="9.88671875" bestFit="1" customWidth="1"/>
    <col min="6" max="6" width="16.77734375" customWidth="1"/>
    <col min="7" max="7" width="19.44140625" customWidth="1"/>
    <col min="8" max="9" width="12.5546875" customWidth="1"/>
    <col min="10" max="10" width="103.33203125" customWidth="1"/>
  </cols>
  <sheetData>
    <row r="1" spans="1:10" ht="14.4" thickBot="1" x14ac:dyDescent="0.3">
      <c r="A1" s="26" t="s">
        <v>82</v>
      </c>
      <c r="B1" s="1" t="s">
        <v>20</v>
      </c>
      <c r="C1" s="1" t="s">
        <v>22</v>
      </c>
      <c r="D1" s="4" t="s">
        <v>0</v>
      </c>
      <c r="E1" s="1" t="s">
        <v>1</v>
      </c>
      <c r="F1" s="1" t="s">
        <v>2</v>
      </c>
      <c r="G1" s="1" t="s">
        <v>3</v>
      </c>
      <c r="H1" s="5" t="s">
        <v>21</v>
      </c>
      <c r="I1" s="13" t="s">
        <v>49</v>
      </c>
      <c r="J1" s="13" t="s">
        <v>43</v>
      </c>
    </row>
    <row r="2" spans="1:10" ht="14.4" thickBot="1" x14ac:dyDescent="0.3">
      <c r="A2" s="3" t="s">
        <v>85</v>
      </c>
      <c r="B2" s="3" t="s">
        <v>4</v>
      </c>
      <c r="C2" s="3" t="s">
        <v>23</v>
      </c>
      <c r="D2" s="2" t="s">
        <v>5</v>
      </c>
      <c r="E2" s="3">
        <v>19.57</v>
      </c>
      <c r="F2" s="3">
        <v>26.1</v>
      </c>
      <c r="G2" s="3">
        <v>93</v>
      </c>
      <c r="H2" s="6">
        <f>(F2*G2/100*44/12)*0.001*E2</f>
        <v>1.7417495700000005</v>
      </c>
      <c r="I2" s="14" t="s">
        <v>70</v>
      </c>
      <c r="J2" t="s">
        <v>44</v>
      </c>
    </row>
    <row r="3" spans="1:10" ht="14.4" thickBot="1" x14ac:dyDescent="0.3">
      <c r="A3" s="3" t="s">
        <v>6</v>
      </c>
      <c r="B3" s="3" t="s">
        <v>6</v>
      </c>
      <c r="C3" s="3" t="s">
        <v>23</v>
      </c>
      <c r="D3" s="2" t="s">
        <v>5</v>
      </c>
      <c r="E3" s="3">
        <v>11.9</v>
      </c>
      <c r="F3" s="3">
        <v>28</v>
      </c>
      <c r="G3" s="3">
        <v>96</v>
      </c>
      <c r="H3" s="6">
        <f t="shared" ref="H3:H15" si="0">(F3*G3/100*44/12)*0.001*E3</f>
        <v>1.1728640000000001</v>
      </c>
      <c r="I3" s="14" t="s">
        <v>70</v>
      </c>
      <c r="J3" t="s">
        <v>45</v>
      </c>
    </row>
    <row r="4" spans="1:10" ht="14.4" thickBot="1" x14ac:dyDescent="0.3">
      <c r="A4" s="3" t="s">
        <v>7</v>
      </c>
      <c r="B4" s="3" t="s">
        <v>7</v>
      </c>
      <c r="C4" s="3" t="s">
        <v>23</v>
      </c>
      <c r="D4" s="2" t="s">
        <v>5</v>
      </c>
      <c r="E4" s="3">
        <v>28.434999999999999</v>
      </c>
      <c r="F4" s="3">
        <v>29.5</v>
      </c>
      <c r="G4" s="3">
        <v>93</v>
      </c>
      <c r="H4" s="6">
        <f t="shared" si="0"/>
        <v>2.8604188249999996</v>
      </c>
      <c r="I4" s="14" t="s">
        <v>70</v>
      </c>
      <c r="J4" t="s">
        <v>46</v>
      </c>
    </row>
    <row r="5" spans="1:10" ht="14.4" thickBot="1" x14ac:dyDescent="0.3">
      <c r="A5" s="3" t="s">
        <v>8</v>
      </c>
      <c r="B5" s="3" t="s">
        <v>8</v>
      </c>
      <c r="C5" s="3" t="s">
        <v>23</v>
      </c>
      <c r="D5" s="2" t="s">
        <v>5</v>
      </c>
      <c r="E5" s="3">
        <v>32.5</v>
      </c>
      <c r="F5" s="3">
        <v>27.5</v>
      </c>
      <c r="G5" s="3">
        <v>98</v>
      </c>
      <c r="H5" s="6">
        <f t="shared" si="0"/>
        <v>3.2115416666666667</v>
      </c>
      <c r="I5" s="14" t="s">
        <v>70</v>
      </c>
      <c r="J5" t="s">
        <v>45</v>
      </c>
    </row>
    <row r="6" spans="1:10" ht="14.4" thickBot="1" x14ac:dyDescent="0.3">
      <c r="A6" s="3" t="s">
        <v>9</v>
      </c>
      <c r="B6" s="3" t="s">
        <v>9</v>
      </c>
      <c r="C6" s="3" t="s">
        <v>23</v>
      </c>
      <c r="D6" s="2" t="s">
        <v>5</v>
      </c>
      <c r="E6" s="3">
        <v>41.816000000000003</v>
      </c>
      <c r="F6" s="3">
        <v>20.100000000000001</v>
      </c>
      <c r="G6" s="3">
        <v>98</v>
      </c>
      <c r="H6" s="6">
        <f t="shared" si="0"/>
        <v>3.0202024160000001</v>
      </c>
      <c r="I6" s="14" t="s">
        <v>70</v>
      </c>
      <c r="J6" t="s">
        <v>46</v>
      </c>
    </row>
    <row r="7" spans="1:10" ht="14.4" thickBot="1" x14ac:dyDescent="0.3">
      <c r="A7" s="3" t="s">
        <v>10</v>
      </c>
      <c r="B7" s="3" t="s">
        <v>10</v>
      </c>
      <c r="C7" s="3" t="s">
        <v>23</v>
      </c>
      <c r="D7" s="2" t="s">
        <v>5</v>
      </c>
      <c r="E7" s="3">
        <v>41.816000000000003</v>
      </c>
      <c r="F7" s="3">
        <v>21.1</v>
      </c>
      <c r="G7" s="3">
        <v>98</v>
      </c>
      <c r="H7" s="6">
        <f t="shared" si="0"/>
        <v>3.1704612426666672</v>
      </c>
      <c r="I7" s="14" t="s">
        <v>70</v>
      </c>
      <c r="J7" t="s">
        <v>46</v>
      </c>
    </row>
    <row r="8" spans="1:10" ht="14.4" thickBot="1" x14ac:dyDescent="0.3">
      <c r="A8" s="3" t="s">
        <v>11</v>
      </c>
      <c r="B8" s="3" t="s">
        <v>11</v>
      </c>
      <c r="C8" s="3" t="s">
        <v>23</v>
      </c>
      <c r="D8" s="2" t="s">
        <v>5</v>
      </c>
      <c r="E8" s="3">
        <v>43.07</v>
      </c>
      <c r="F8" s="3">
        <v>18.899999999999999</v>
      </c>
      <c r="G8" s="3">
        <v>98</v>
      </c>
      <c r="H8" s="6">
        <f t="shared" si="0"/>
        <v>2.9250559800000002</v>
      </c>
      <c r="I8" s="14" t="s">
        <v>70</v>
      </c>
      <c r="J8" t="s">
        <v>46</v>
      </c>
    </row>
    <row r="9" spans="1:10" ht="14.4" thickBot="1" x14ac:dyDescent="0.3">
      <c r="A9" s="3" t="s">
        <v>12</v>
      </c>
      <c r="B9" s="3" t="s">
        <v>12</v>
      </c>
      <c r="C9" s="3" t="s">
        <v>23</v>
      </c>
      <c r="D9" s="2" t="s">
        <v>5</v>
      </c>
      <c r="E9" s="3">
        <v>42.652000000000001</v>
      </c>
      <c r="F9" s="3">
        <v>20.2</v>
      </c>
      <c r="G9" s="3">
        <v>98</v>
      </c>
      <c r="H9" s="6">
        <f t="shared" si="0"/>
        <v>3.0959096373333335</v>
      </c>
      <c r="I9" s="14" t="s">
        <v>70</v>
      </c>
      <c r="J9" t="s">
        <v>46</v>
      </c>
    </row>
    <row r="10" spans="1:10" ht="14.4" thickBot="1" x14ac:dyDescent="0.3">
      <c r="A10" s="3" t="s">
        <v>13</v>
      </c>
      <c r="B10" s="3" t="s">
        <v>13</v>
      </c>
      <c r="C10" s="3" t="s">
        <v>23</v>
      </c>
      <c r="D10" s="2" t="s">
        <v>5</v>
      </c>
      <c r="E10" s="3">
        <v>51.497999999999998</v>
      </c>
      <c r="F10" s="3">
        <v>15.3</v>
      </c>
      <c r="G10" s="3">
        <v>98</v>
      </c>
      <c r="H10" s="6">
        <f t="shared" si="0"/>
        <v>2.8312570440000004</v>
      </c>
      <c r="I10" s="14" t="s">
        <v>70</v>
      </c>
      <c r="J10" t="s">
        <v>47</v>
      </c>
    </row>
    <row r="11" spans="1:10" ht="14.4" thickBot="1" x14ac:dyDescent="0.3">
      <c r="A11" s="3" t="s">
        <v>14</v>
      </c>
      <c r="B11" s="3" t="s">
        <v>14</v>
      </c>
      <c r="C11" s="3" t="s">
        <v>23</v>
      </c>
      <c r="D11" s="2" t="s">
        <v>5</v>
      </c>
      <c r="E11" s="3">
        <v>50.179000000000002</v>
      </c>
      <c r="F11" s="3">
        <v>17.2</v>
      </c>
      <c r="G11" s="3">
        <v>98</v>
      </c>
      <c r="H11" s="6">
        <f t="shared" si="0"/>
        <v>3.1013298213333331</v>
      </c>
      <c r="I11" s="14" t="s">
        <v>70</v>
      </c>
      <c r="J11" t="s">
        <v>46</v>
      </c>
    </row>
    <row r="12" spans="1:10" ht="15" thickBot="1" x14ac:dyDescent="0.3">
      <c r="A12" s="3" t="s">
        <v>15</v>
      </c>
      <c r="B12" s="3" t="s">
        <v>15</v>
      </c>
      <c r="C12" s="3" t="s">
        <v>23</v>
      </c>
      <c r="D12" s="2" t="s">
        <v>16</v>
      </c>
      <c r="E12" s="3">
        <v>389.31</v>
      </c>
      <c r="F12" s="3">
        <v>15.3</v>
      </c>
      <c r="G12" s="3">
        <v>99</v>
      </c>
      <c r="H12" s="6">
        <f t="shared" si="0"/>
        <v>21.621888089999999</v>
      </c>
      <c r="I12" s="14" t="s">
        <v>72</v>
      </c>
      <c r="J12" t="s">
        <v>46</v>
      </c>
    </row>
    <row r="13" spans="1:10" ht="15" thickBot="1" x14ac:dyDescent="0.3">
      <c r="A13" s="3" t="s">
        <v>17</v>
      </c>
      <c r="B13" s="3" t="s">
        <v>17</v>
      </c>
      <c r="C13" s="3" t="s">
        <v>23</v>
      </c>
      <c r="D13" s="2" t="s">
        <v>16</v>
      </c>
      <c r="E13" s="3">
        <v>33</v>
      </c>
      <c r="F13" s="3">
        <v>70.8</v>
      </c>
      <c r="G13" s="3">
        <v>99</v>
      </c>
      <c r="H13" s="6">
        <f t="shared" si="0"/>
        <v>8.4811319999999988</v>
      </c>
      <c r="I13" s="14" t="s">
        <v>72</v>
      </c>
      <c r="J13" t="s">
        <v>48</v>
      </c>
    </row>
    <row r="14" spans="1:10" ht="15" thickBot="1" x14ac:dyDescent="0.3">
      <c r="A14" s="3" t="s">
        <v>18</v>
      </c>
      <c r="B14" s="3" t="s">
        <v>18</v>
      </c>
      <c r="C14" s="3" t="s">
        <v>23</v>
      </c>
      <c r="D14" s="2" t="s">
        <v>16</v>
      </c>
      <c r="E14" s="3">
        <v>84</v>
      </c>
      <c r="F14" s="3">
        <v>49.6</v>
      </c>
      <c r="G14" s="3">
        <v>99</v>
      </c>
      <c r="H14" s="6">
        <f t="shared" si="0"/>
        <v>15.124032000000003</v>
      </c>
      <c r="I14" s="14" t="s">
        <v>72</v>
      </c>
      <c r="J14" t="s">
        <v>44</v>
      </c>
    </row>
    <row r="15" spans="1:10" ht="15" thickBot="1" x14ac:dyDescent="0.3">
      <c r="A15" s="3" t="s">
        <v>19</v>
      </c>
      <c r="B15" s="3" t="s">
        <v>19</v>
      </c>
      <c r="C15" s="3" t="s">
        <v>23</v>
      </c>
      <c r="D15" s="2" t="s">
        <v>71</v>
      </c>
      <c r="E15" s="3">
        <v>179.81</v>
      </c>
      <c r="F15" s="3">
        <v>13.58</v>
      </c>
      <c r="G15" s="3">
        <v>99</v>
      </c>
      <c r="H15" s="6">
        <f t="shared" si="0"/>
        <v>8.8638058740000005</v>
      </c>
      <c r="I15" s="14" t="s">
        <v>72</v>
      </c>
      <c r="J15" t="s">
        <v>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0961-1412-4E50-806C-ED3BABBD5D1E}">
  <sheetPr codeName="Sheet2"/>
  <dimension ref="A3:D9"/>
  <sheetViews>
    <sheetView workbookViewId="0">
      <selection activeCell="A19" sqref="A19"/>
    </sheetView>
  </sheetViews>
  <sheetFormatPr defaultRowHeight="13.8" x14ac:dyDescent="0.25"/>
  <cols>
    <col min="1" max="1" width="20.88671875" style="9" customWidth="1"/>
    <col min="2" max="2" width="10.5546875" customWidth="1"/>
    <col min="3" max="3" width="16.5546875" customWidth="1"/>
    <col min="4" max="4" width="90.109375" style="9" customWidth="1"/>
  </cols>
  <sheetData>
    <row r="3" spans="1:4" x14ac:dyDescent="0.25">
      <c r="A3" s="8" t="s">
        <v>24</v>
      </c>
      <c r="B3" s="7" t="s">
        <v>25</v>
      </c>
      <c r="C3" s="7" t="s">
        <v>26</v>
      </c>
      <c r="D3" s="8" t="s">
        <v>27</v>
      </c>
    </row>
    <row r="4" spans="1:4" ht="27.6" x14ac:dyDescent="0.25">
      <c r="A4" s="9" t="s">
        <v>28</v>
      </c>
      <c r="B4" s="10">
        <v>0.53059999999999996</v>
      </c>
      <c r="C4" t="s">
        <v>29</v>
      </c>
      <c r="D4" s="9" t="s">
        <v>30</v>
      </c>
    </row>
    <row r="5" spans="1:4" ht="27.6" x14ac:dyDescent="0.25">
      <c r="A5" s="9" t="s">
        <v>31</v>
      </c>
      <c r="B5" s="10" t="s">
        <v>32</v>
      </c>
      <c r="C5" t="s">
        <v>29</v>
      </c>
      <c r="D5" s="9" t="s">
        <v>33</v>
      </c>
    </row>
    <row r="6" spans="1:4" ht="27.6" x14ac:dyDescent="0.25">
      <c r="A6" s="9" t="s">
        <v>34</v>
      </c>
      <c r="B6" s="11" t="s">
        <v>35</v>
      </c>
      <c r="C6" t="s">
        <v>29</v>
      </c>
      <c r="D6" s="9" t="s">
        <v>33</v>
      </c>
    </row>
    <row r="7" spans="1:4" ht="27.6" x14ac:dyDescent="0.25">
      <c r="A7" s="9" t="s">
        <v>36</v>
      </c>
      <c r="B7" s="10">
        <v>0.64100000000000001</v>
      </c>
      <c r="C7" t="s">
        <v>29</v>
      </c>
      <c r="D7" s="9" t="s">
        <v>37</v>
      </c>
    </row>
    <row r="8" spans="1:4" ht="27.6" x14ac:dyDescent="0.25">
      <c r="A8" s="8" t="s">
        <v>39</v>
      </c>
      <c r="B8" s="12">
        <v>0.70409999999999995</v>
      </c>
      <c r="C8" t="s">
        <v>29</v>
      </c>
      <c r="D8" s="9" t="s">
        <v>38</v>
      </c>
    </row>
    <row r="9" spans="1:4" x14ac:dyDescent="0.25">
      <c r="C9" t="s">
        <v>29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2A9E-1360-4D81-9E20-DC7B5732966D}">
  <sheetPr codeName="Sheet3"/>
  <dimension ref="A1:E2"/>
  <sheetViews>
    <sheetView workbookViewId="0"/>
  </sheetViews>
  <sheetFormatPr defaultRowHeight="13.8" x14ac:dyDescent="0.25"/>
  <cols>
    <col min="1" max="1" width="20.5546875" style="9" customWidth="1"/>
    <col min="2" max="2" width="15.88671875" customWidth="1"/>
    <col min="5" max="5" width="72.44140625" style="9" customWidth="1"/>
  </cols>
  <sheetData>
    <row r="1" spans="1:5" x14ac:dyDescent="0.25">
      <c r="A1" s="8" t="s">
        <v>82</v>
      </c>
      <c r="B1" s="7" t="s">
        <v>25</v>
      </c>
      <c r="C1" s="7" t="s">
        <v>26</v>
      </c>
      <c r="D1" s="7" t="s">
        <v>22</v>
      </c>
      <c r="E1" s="8" t="s">
        <v>27</v>
      </c>
    </row>
    <row r="2" spans="1:5" ht="55.2" x14ac:dyDescent="0.25">
      <c r="A2" s="9" t="s">
        <v>42</v>
      </c>
      <c r="B2">
        <v>0.11</v>
      </c>
      <c r="C2" t="s">
        <v>41</v>
      </c>
      <c r="D2" t="s">
        <v>23</v>
      </c>
      <c r="E2" s="9" t="s">
        <v>40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211D-82D1-4675-8E79-80E8DBD5B9AA}">
  <sheetPr codeName="Sheet4"/>
  <dimension ref="A4:A6"/>
  <sheetViews>
    <sheetView workbookViewId="0">
      <selection activeCell="A6" sqref="A6"/>
    </sheetView>
  </sheetViews>
  <sheetFormatPr defaultRowHeight="13.8" x14ac:dyDescent="0.25"/>
  <cols>
    <col min="1" max="1" width="180.6640625" customWidth="1"/>
  </cols>
  <sheetData>
    <row r="4" spans="1:1" x14ac:dyDescent="0.25">
      <c r="A4" t="s">
        <v>50</v>
      </c>
    </row>
    <row r="6" spans="1:1" ht="87.6" customHeight="1" x14ac:dyDescent="0.25"/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F994-7259-4498-AA81-2A014F4AFB5E}">
  <sheetPr codeName="Sheet5"/>
  <dimension ref="A1:C73"/>
  <sheetViews>
    <sheetView workbookViewId="0">
      <selection activeCell="C1" sqref="C1"/>
    </sheetView>
  </sheetViews>
  <sheetFormatPr defaultRowHeight="13.8" x14ac:dyDescent="0.25"/>
  <cols>
    <col min="1" max="1" width="10.6640625" customWidth="1"/>
    <col min="2" max="2" width="12.21875" customWidth="1"/>
    <col min="3" max="3" width="19.21875" customWidth="1"/>
  </cols>
  <sheetData>
    <row r="1" spans="1:3" ht="14.4" thickBot="1" x14ac:dyDescent="0.3">
      <c r="A1" s="15" t="s">
        <v>73</v>
      </c>
      <c r="B1" s="16" t="s">
        <v>75</v>
      </c>
      <c r="C1" s="16" t="s">
        <v>74</v>
      </c>
    </row>
    <row r="2" spans="1:3" ht="14.4" thickBot="1" x14ac:dyDescent="0.3">
      <c r="A2" s="17">
        <v>1E-3</v>
      </c>
      <c r="B2" s="18">
        <v>6.98</v>
      </c>
      <c r="C2" s="18">
        <v>2513.8000000000002</v>
      </c>
    </row>
    <row r="3" spans="1:3" ht="14.4" thickBot="1" x14ac:dyDescent="0.3">
      <c r="A3" s="17">
        <v>2E-3</v>
      </c>
      <c r="B3" s="18">
        <v>17.510000000000002</v>
      </c>
      <c r="C3" s="18">
        <v>2533.1999999999998</v>
      </c>
    </row>
    <row r="4" spans="1:3" ht="14.4" thickBot="1" x14ac:dyDescent="0.3">
      <c r="A4" s="17">
        <v>3.0000000000000001E-3</v>
      </c>
      <c r="B4" s="18">
        <v>24.1</v>
      </c>
      <c r="C4" s="18">
        <v>2545.1999999999998</v>
      </c>
    </row>
    <row r="5" spans="1:3" ht="14.4" thickBot="1" x14ac:dyDescent="0.3">
      <c r="A5" s="17">
        <v>4.0000000000000001E-3</v>
      </c>
      <c r="B5" s="18">
        <v>28.98</v>
      </c>
      <c r="C5" s="18">
        <v>2554.1</v>
      </c>
    </row>
    <row r="6" spans="1:3" ht="14.4" thickBot="1" x14ac:dyDescent="0.3">
      <c r="A6" s="17">
        <v>5.0000000000000001E-3</v>
      </c>
      <c r="B6" s="18">
        <v>32.9</v>
      </c>
      <c r="C6" s="18">
        <v>2561.1999999999998</v>
      </c>
    </row>
    <row r="7" spans="1:3" ht="14.4" thickBot="1" x14ac:dyDescent="0.3">
      <c r="A7" s="17">
        <v>6.0000000000000001E-3</v>
      </c>
      <c r="B7" s="18">
        <v>36.18</v>
      </c>
      <c r="C7" s="18">
        <v>2567.1</v>
      </c>
    </row>
    <row r="8" spans="1:3" ht="14.4" thickBot="1" x14ac:dyDescent="0.3">
      <c r="A8" s="17">
        <v>7.0000000000000001E-3</v>
      </c>
      <c r="B8" s="18">
        <v>39.020000000000003</v>
      </c>
      <c r="C8" s="18">
        <v>2572.1999999999998</v>
      </c>
    </row>
    <row r="9" spans="1:3" ht="14.4" thickBot="1" x14ac:dyDescent="0.3">
      <c r="A9" s="17">
        <v>8.0000000000000002E-3</v>
      </c>
      <c r="B9" s="18">
        <v>41.53</v>
      </c>
      <c r="C9" s="18">
        <v>2576.6999999999998</v>
      </c>
    </row>
    <row r="10" spans="1:3" ht="14.4" thickBot="1" x14ac:dyDescent="0.3">
      <c r="A10" s="17">
        <v>8.9999999999999993E-3</v>
      </c>
      <c r="B10" s="18">
        <v>43.79</v>
      </c>
      <c r="C10" s="18">
        <v>2580.8000000000002</v>
      </c>
    </row>
    <row r="11" spans="1:3" ht="14.4" thickBot="1" x14ac:dyDescent="0.3">
      <c r="A11" s="17">
        <v>0.01</v>
      </c>
      <c r="B11" s="18">
        <v>45.83</v>
      </c>
      <c r="C11" s="18">
        <v>2584.4</v>
      </c>
    </row>
    <row r="12" spans="1:3" ht="14.4" thickBot="1" x14ac:dyDescent="0.3">
      <c r="A12" s="17">
        <v>1.4999999999999999E-2</v>
      </c>
      <c r="B12" s="18">
        <v>54</v>
      </c>
      <c r="C12" s="18">
        <v>2598.9</v>
      </c>
    </row>
    <row r="13" spans="1:3" ht="14.4" thickBot="1" x14ac:dyDescent="0.3">
      <c r="A13" s="17">
        <v>0.02</v>
      </c>
      <c r="B13" s="18">
        <v>60.09</v>
      </c>
      <c r="C13" s="18">
        <v>2609.6</v>
      </c>
    </row>
    <row r="14" spans="1:3" ht="14.4" thickBot="1" x14ac:dyDescent="0.3">
      <c r="A14" s="17">
        <v>2.5000000000000001E-2</v>
      </c>
      <c r="B14" s="18">
        <v>64.989999999999995</v>
      </c>
      <c r="C14" s="18">
        <v>2618.1</v>
      </c>
    </row>
    <row r="15" spans="1:3" ht="14.4" thickBot="1" x14ac:dyDescent="0.3">
      <c r="A15" s="17">
        <v>0.03</v>
      </c>
      <c r="B15" s="18">
        <v>69.12</v>
      </c>
      <c r="C15" s="18">
        <v>2625.3</v>
      </c>
    </row>
    <row r="16" spans="1:3" ht="14.4" thickBot="1" x14ac:dyDescent="0.3">
      <c r="A16" s="17">
        <v>0.04</v>
      </c>
      <c r="B16" s="18">
        <v>75.89</v>
      </c>
      <c r="C16" s="18">
        <v>2636.8</v>
      </c>
    </row>
    <row r="17" spans="1:3" ht="14.4" thickBot="1" x14ac:dyDescent="0.3">
      <c r="A17" s="17">
        <v>0.05</v>
      </c>
      <c r="B17" s="18">
        <v>81.349999999999994</v>
      </c>
      <c r="C17" s="18">
        <v>2645</v>
      </c>
    </row>
    <row r="18" spans="1:3" ht="14.4" thickBot="1" x14ac:dyDescent="0.3">
      <c r="A18" s="17">
        <v>0.06</v>
      </c>
      <c r="B18" s="18">
        <v>85.95</v>
      </c>
      <c r="C18" s="18">
        <v>2653.6</v>
      </c>
    </row>
    <row r="19" spans="1:3" ht="14.4" thickBot="1" x14ac:dyDescent="0.3">
      <c r="A19" s="17">
        <v>7.0000000000000007E-2</v>
      </c>
      <c r="B19" s="18">
        <v>89.96</v>
      </c>
      <c r="C19" s="18">
        <v>2660.2</v>
      </c>
    </row>
    <row r="20" spans="1:3" ht="14.4" thickBot="1" x14ac:dyDescent="0.3">
      <c r="A20" s="17">
        <v>0.08</v>
      </c>
      <c r="B20" s="18">
        <v>93.51</v>
      </c>
      <c r="C20" s="18">
        <v>2666</v>
      </c>
    </row>
    <row r="21" spans="1:3" ht="14.4" thickBot="1" x14ac:dyDescent="0.3">
      <c r="A21" s="17">
        <v>0.09</v>
      </c>
      <c r="B21" s="18">
        <v>96.71</v>
      </c>
      <c r="C21" s="18">
        <v>2671.1</v>
      </c>
    </row>
    <row r="22" spans="1:3" ht="14.4" thickBot="1" x14ac:dyDescent="0.3">
      <c r="A22" s="17">
        <v>0.1</v>
      </c>
      <c r="B22" s="18">
        <v>99.63</v>
      </c>
      <c r="C22" s="18">
        <v>2675.7</v>
      </c>
    </row>
    <row r="23" spans="1:3" ht="14.4" thickBot="1" x14ac:dyDescent="0.3">
      <c r="A23" s="17">
        <v>0.12</v>
      </c>
      <c r="B23" s="18">
        <v>104.81</v>
      </c>
      <c r="C23" s="18">
        <v>2683.8</v>
      </c>
    </row>
    <row r="24" spans="1:3" ht="14.4" thickBot="1" x14ac:dyDescent="0.3">
      <c r="A24" s="17">
        <v>0.14000000000000001</v>
      </c>
      <c r="B24" s="18">
        <v>109.32</v>
      </c>
      <c r="C24" s="18">
        <v>2690.8</v>
      </c>
    </row>
    <row r="25" spans="1:3" ht="14.4" thickBot="1" x14ac:dyDescent="0.3">
      <c r="A25" s="17">
        <v>0.16</v>
      </c>
      <c r="B25" s="18">
        <v>113.32</v>
      </c>
      <c r="C25" s="18">
        <v>2696.8</v>
      </c>
    </row>
    <row r="26" spans="1:3" ht="14.4" thickBot="1" x14ac:dyDescent="0.3">
      <c r="A26" s="17">
        <v>0.18</v>
      </c>
      <c r="B26" s="18">
        <v>116.93</v>
      </c>
      <c r="C26" s="18">
        <v>2702.1</v>
      </c>
    </row>
    <row r="27" spans="1:3" ht="14.4" thickBot="1" x14ac:dyDescent="0.3">
      <c r="A27" s="17">
        <v>0.2</v>
      </c>
      <c r="B27" s="18">
        <v>120.23</v>
      </c>
      <c r="C27" s="18">
        <v>2706.9</v>
      </c>
    </row>
    <row r="28" spans="1:3" ht="14.4" thickBot="1" x14ac:dyDescent="0.3">
      <c r="A28" s="17">
        <v>0.25</v>
      </c>
      <c r="B28" s="18">
        <v>127.43</v>
      </c>
      <c r="C28" s="18">
        <v>2717.2</v>
      </c>
    </row>
    <row r="29" spans="1:3" ht="14.4" thickBot="1" x14ac:dyDescent="0.3">
      <c r="A29" s="17">
        <v>0.3</v>
      </c>
      <c r="B29" s="18">
        <v>133.54</v>
      </c>
      <c r="C29" s="18">
        <v>2725.5</v>
      </c>
    </row>
    <row r="30" spans="1:3" ht="14.4" thickBot="1" x14ac:dyDescent="0.3">
      <c r="A30" s="17">
        <v>0.35</v>
      </c>
      <c r="B30" s="18">
        <v>138.88</v>
      </c>
      <c r="C30" s="18">
        <v>2732.5</v>
      </c>
    </row>
    <row r="31" spans="1:3" ht="14.4" thickBot="1" x14ac:dyDescent="0.3">
      <c r="A31" s="17">
        <v>0.4</v>
      </c>
      <c r="B31" s="18">
        <v>143.62</v>
      </c>
      <c r="C31" s="18">
        <v>2738.5</v>
      </c>
    </row>
    <row r="32" spans="1:3" ht="14.4" thickBot="1" x14ac:dyDescent="0.3">
      <c r="A32" s="17">
        <v>0.45</v>
      </c>
      <c r="B32" s="18">
        <v>147.91999999999999</v>
      </c>
      <c r="C32" s="18">
        <v>2743.8</v>
      </c>
    </row>
    <row r="33" spans="1:3" ht="14.4" thickBot="1" x14ac:dyDescent="0.3">
      <c r="A33" s="17">
        <v>0.5</v>
      </c>
      <c r="B33" s="18">
        <v>151.85</v>
      </c>
      <c r="C33" s="18">
        <v>2748.5</v>
      </c>
    </row>
    <row r="34" spans="1:3" ht="14.4" thickBot="1" x14ac:dyDescent="0.3">
      <c r="A34" s="17">
        <v>0.6</v>
      </c>
      <c r="B34" s="18">
        <v>158.84</v>
      </c>
      <c r="C34" s="18">
        <v>2756.4</v>
      </c>
    </row>
    <row r="35" spans="1:3" ht="14.4" thickBot="1" x14ac:dyDescent="0.3">
      <c r="A35" s="17">
        <v>0.7</v>
      </c>
      <c r="B35" s="18">
        <v>164.96</v>
      </c>
      <c r="C35" s="18">
        <v>2762.9</v>
      </c>
    </row>
    <row r="36" spans="1:3" ht="14.4" thickBot="1" x14ac:dyDescent="0.3">
      <c r="A36" s="17">
        <v>0.8</v>
      </c>
      <c r="B36" s="18">
        <v>170.42</v>
      </c>
      <c r="C36" s="18">
        <v>2768.4</v>
      </c>
    </row>
    <row r="37" spans="1:3" ht="14.4" thickBot="1" x14ac:dyDescent="0.3">
      <c r="A37" s="17">
        <v>0.9</v>
      </c>
      <c r="B37" s="18">
        <v>175.36</v>
      </c>
      <c r="C37" s="18">
        <v>2773</v>
      </c>
    </row>
    <row r="38" spans="1:3" ht="14.4" thickBot="1" x14ac:dyDescent="0.3">
      <c r="A38" s="15">
        <v>1</v>
      </c>
      <c r="B38" s="16">
        <v>179.88</v>
      </c>
      <c r="C38" s="16">
        <v>2777</v>
      </c>
    </row>
    <row r="39" spans="1:3" ht="14.4" thickBot="1" x14ac:dyDescent="0.3">
      <c r="A39" s="17">
        <v>1.1000000000000001</v>
      </c>
      <c r="B39" s="18">
        <v>184.06</v>
      </c>
      <c r="C39" s="18">
        <v>2780.4</v>
      </c>
    </row>
    <row r="40" spans="1:3" ht="14.4" thickBot="1" x14ac:dyDescent="0.3">
      <c r="A40" s="17">
        <v>1.2</v>
      </c>
      <c r="B40" s="18">
        <v>187.96</v>
      </c>
      <c r="C40" s="18">
        <v>2783.4</v>
      </c>
    </row>
    <row r="41" spans="1:3" ht="14.4" thickBot="1" x14ac:dyDescent="0.3">
      <c r="A41" s="17">
        <v>1.3</v>
      </c>
      <c r="B41" s="18">
        <v>191.6</v>
      </c>
      <c r="C41" s="18">
        <v>2786</v>
      </c>
    </row>
    <row r="42" spans="1:3" ht="14.4" thickBot="1" x14ac:dyDescent="0.3">
      <c r="A42" s="17">
        <v>1.4</v>
      </c>
      <c r="B42" s="18">
        <v>195.04</v>
      </c>
      <c r="C42" s="18">
        <v>2788.4</v>
      </c>
    </row>
    <row r="43" spans="1:3" ht="14.4" thickBot="1" x14ac:dyDescent="0.3">
      <c r="A43" s="17">
        <v>1.5</v>
      </c>
      <c r="B43" s="18">
        <v>198.28</v>
      </c>
      <c r="C43" s="18">
        <v>2790.4</v>
      </c>
    </row>
    <row r="44" spans="1:3" ht="14.4" thickBot="1" x14ac:dyDescent="0.3">
      <c r="A44" s="17">
        <v>1.6</v>
      </c>
      <c r="B44" s="18">
        <v>201.37</v>
      </c>
      <c r="C44" s="18">
        <v>2792.2</v>
      </c>
    </row>
    <row r="45" spans="1:3" ht="14.4" thickBot="1" x14ac:dyDescent="0.3">
      <c r="A45" s="17">
        <v>1.4</v>
      </c>
      <c r="B45" s="18">
        <v>204.3</v>
      </c>
      <c r="C45" s="18">
        <v>2793.8</v>
      </c>
    </row>
    <row r="46" spans="1:3" ht="14.4" thickBot="1" x14ac:dyDescent="0.3">
      <c r="A46" s="17">
        <v>1.5</v>
      </c>
      <c r="B46" s="18">
        <v>207.1</v>
      </c>
      <c r="C46" s="18">
        <v>2795.1</v>
      </c>
    </row>
    <row r="47" spans="1:3" ht="14.4" thickBot="1" x14ac:dyDescent="0.3">
      <c r="A47" s="17">
        <v>1.9</v>
      </c>
      <c r="B47" s="18">
        <v>209.79</v>
      </c>
      <c r="C47" s="18">
        <v>2796.4</v>
      </c>
    </row>
    <row r="48" spans="1:3" ht="14.4" thickBot="1" x14ac:dyDescent="0.3">
      <c r="A48" s="17">
        <v>2</v>
      </c>
      <c r="B48" s="18">
        <v>212.37</v>
      </c>
      <c r="C48" s="18">
        <v>2797.4</v>
      </c>
    </row>
    <row r="49" spans="1:3" ht="14.4" thickBot="1" x14ac:dyDescent="0.3">
      <c r="A49" s="17">
        <v>2.2000000000000002</v>
      </c>
      <c r="B49" s="18">
        <v>217.24</v>
      </c>
      <c r="C49" s="18">
        <v>2799.1</v>
      </c>
    </row>
    <row r="50" spans="1:3" ht="14.4" thickBot="1" x14ac:dyDescent="0.3">
      <c r="A50" s="17">
        <v>2.4</v>
      </c>
      <c r="B50" s="18">
        <v>221.78</v>
      </c>
      <c r="C50" s="18">
        <v>2800.4</v>
      </c>
    </row>
    <row r="51" spans="1:3" ht="14.4" thickBot="1" x14ac:dyDescent="0.3">
      <c r="A51" s="17">
        <v>2.6</v>
      </c>
      <c r="B51" s="18">
        <v>226.03</v>
      </c>
      <c r="C51" s="18">
        <v>2801.2</v>
      </c>
    </row>
    <row r="52" spans="1:3" ht="14.4" thickBot="1" x14ac:dyDescent="0.3">
      <c r="A52" s="17">
        <v>2.8</v>
      </c>
      <c r="B52" s="18">
        <v>230.04</v>
      </c>
      <c r="C52" s="18">
        <v>2801.7</v>
      </c>
    </row>
    <row r="53" spans="1:3" ht="14.4" thickBot="1" x14ac:dyDescent="0.3">
      <c r="A53" s="17">
        <v>3</v>
      </c>
      <c r="B53" s="18">
        <v>233.84</v>
      </c>
      <c r="C53" s="18">
        <v>2801.9</v>
      </c>
    </row>
    <row r="54" spans="1:3" ht="14.4" thickBot="1" x14ac:dyDescent="0.3">
      <c r="A54" s="17">
        <v>3.5</v>
      </c>
      <c r="B54" s="18">
        <v>242.54</v>
      </c>
      <c r="C54" s="18">
        <v>2801.3</v>
      </c>
    </row>
    <row r="55" spans="1:3" ht="14.4" thickBot="1" x14ac:dyDescent="0.3">
      <c r="A55" s="17">
        <v>4</v>
      </c>
      <c r="B55" s="18">
        <v>250.33</v>
      </c>
      <c r="C55" s="18">
        <v>2799.4</v>
      </c>
    </row>
    <row r="56" spans="1:3" ht="14.4" thickBot="1" x14ac:dyDescent="0.3">
      <c r="A56" s="17">
        <v>5</v>
      </c>
      <c r="B56" s="18">
        <v>263.92</v>
      </c>
      <c r="C56" s="18">
        <v>2792.8</v>
      </c>
    </row>
    <row r="57" spans="1:3" ht="14.4" thickBot="1" x14ac:dyDescent="0.3">
      <c r="A57" s="17">
        <v>6</v>
      </c>
      <c r="B57" s="18">
        <v>275.56</v>
      </c>
      <c r="C57" s="18">
        <v>2783.3</v>
      </c>
    </row>
    <row r="58" spans="1:3" ht="14.4" thickBot="1" x14ac:dyDescent="0.3">
      <c r="A58" s="17">
        <v>7</v>
      </c>
      <c r="B58" s="18">
        <v>285.8</v>
      </c>
      <c r="C58" s="18">
        <v>2771.4</v>
      </c>
    </row>
    <row r="59" spans="1:3" ht="14.4" thickBot="1" x14ac:dyDescent="0.3">
      <c r="A59" s="17">
        <v>8</v>
      </c>
      <c r="B59" s="18">
        <v>294.98</v>
      </c>
      <c r="C59" s="18">
        <v>2757.5</v>
      </c>
    </row>
    <row r="60" spans="1:3" ht="14.4" thickBot="1" x14ac:dyDescent="0.3">
      <c r="A60" s="17">
        <v>9</v>
      </c>
      <c r="B60" s="18">
        <v>303.31</v>
      </c>
      <c r="C60" s="18">
        <v>2741.8</v>
      </c>
    </row>
    <row r="61" spans="1:3" ht="14.4" thickBot="1" x14ac:dyDescent="0.3">
      <c r="A61" s="17">
        <v>10</v>
      </c>
      <c r="B61" s="18">
        <v>310.95999999999998</v>
      </c>
      <c r="C61" s="18">
        <v>2724.4</v>
      </c>
    </row>
    <row r="62" spans="1:3" ht="14.4" thickBot="1" x14ac:dyDescent="0.3">
      <c r="A62" s="17">
        <v>11</v>
      </c>
      <c r="B62" s="18">
        <v>318.04000000000002</v>
      </c>
      <c r="C62" s="18">
        <v>2705.4</v>
      </c>
    </row>
    <row r="63" spans="1:3" ht="14.4" thickBot="1" x14ac:dyDescent="0.3">
      <c r="A63" s="17">
        <v>12</v>
      </c>
      <c r="B63" s="18">
        <v>324.64</v>
      </c>
      <c r="C63" s="18">
        <v>2684.8</v>
      </c>
    </row>
    <row r="64" spans="1:3" ht="14.4" thickBot="1" x14ac:dyDescent="0.3">
      <c r="A64" s="17">
        <v>13</v>
      </c>
      <c r="B64" s="18">
        <v>330.81</v>
      </c>
      <c r="C64" s="18">
        <v>2662.4</v>
      </c>
    </row>
    <row r="65" spans="1:3" ht="14.4" thickBot="1" x14ac:dyDescent="0.3">
      <c r="A65" s="17">
        <v>14</v>
      </c>
      <c r="B65" s="18">
        <v>336.63</v>
      </c>
      <c r="C65" s="18">
        <v>2638.3</v>
      </c>
    </row>
    <row r="66" spans="1:3" ht="14.4" thickBot="1" x14ac:dyDescent="0.3">
      <c r="A66" s="17">
        <v>15</v>
      </c>
      <c r="B66" s="18">
        <v>342.12</v>
      </c>
      <c r="C66" s="18">
        <v>2611.6</v>
      </c>
    </row>
    <row r="67" spans="1:3" ht="14.4" thickBot="1" x14ac:dyDescent="0.3">
      <c r="A67" s="17">
        <v>16</v>
      </c>
      <c r="B67" s="18">
        <v>347.32</v>
      </c>
      <c r="C67" s="18">
        <v>2582.6999999999998</v>
      </c>
    </row>
    <row r="68" spans="1:3" ht="14.4" thickBot="1" x14ac:dyDescent="0.3">
      <c r="A68" s="17">
        <v>17</v>
      </c>
      <c r="B68" s="18">
        <v>352.26</v>
      </c>
      <c r="C68" s="18">
        <v>2550.8000000000002</v>
      </c>
    </row>
    <row r="69" spans="1:3" ht="14.4" thickBot="1" x14ac:dyDescent="0.3">
      <c r="A69" s="17">
        <v>18</v>
      </c>
      <c r="B69" s="18">
        <v>356.96</v>
      </c>
      <c r="C69" s="18">
        <v>2514.4</v>
      </c>
    </row>
    <row r="70" spans="1:3" ht="14.4" thickBot="1" x14ac:dyDescent="0.3">
      <c r="A70" s="17">
        <v>19</v>
      </c>
      <c r="B70" s="18">
        <v>361.44</v>
      </c>
      <c r="C70" s="18">
        <v>2470.1</v>
      </c>
    </row>
    <row r="71" spans="1:3" ht="14.4" thickBot="1" x14ac:dyDescent="0.3">
      <c r="A71" s="17">
        <v>20</v>
      </c>
      <c r="B71" s="18">
        <v>365.71</v>
      </c>
      <c r="C71" s="18">
        <v>2413.9</v>
      </c>
    </row>
    <row r="72" spans="1:3" ht="14.4" thickBot="1" x14ac:dyDescent="0.3">
      <c r="A72" s="17">
        <v>21</v>
      </c>
      <c r="B72" s="18">
        <v>369.79</v>
      </c>
      <c r="C72" s="18">
        <v>2340.1999999999998</v>
      </c>
    </row>
    <row r="73" spans="1:3" ht="14.4" thickBot="1" x14ac:dyDescent="0.3">
      <c r="A73" s="17">
        <v>22</v>
      </c>
      <c r="B73" s="18">
        <v>373.68</v>
      </c>
      <c r="C73" s="18">
        <v>2192.5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F565-097E-4904-893B-F078A88BE8C7}">
  <sheetPr codeName="Sheet6"/>
  <dimension ref="A1:C373"/>
  <sheetViews>
    <sheetView workbookViewId="0">
      <selection activeCell="K10" sqref="K1:K10"/>
    </sheetView>
  </sheetViews>
  <sheetFormatPr defaultRowHeight="13.8" x14ac:dyDescent="0.25"/>
  <sheetData>
    <row r="1" spans="1:3" x14ac:dyDescent="0.25">
      <c r="A1" s="19" t="s">
        <v>51</v>
      </c>
      <c r="B1" s="20" t="s">
        <v>52</v>
      </c>
      <c r="C1" s="19" t="s">
        <v>53</v>
      </c>
    </row>
    <row r="2" spans="1:3" ht="14.4" x14ac:dyDescent="0.25">
      <c r="A2" s="21">
        <v>0</v>
      </c>
      <c r="B2" s="22">
        <v>0.01</v>
      </c>
      <c r="C2" s="21">
        <v>0</v>
      </c>
    </row>
    <row r="3" spans="1:3" ht="14.4" x14ac:dyDescent="0.25">
      <c r="A3" s="23">
        <v>10</v>
      </c>
      <c r="B3" s="24">
        <v>0.01</v>
      </c>
      <c r="C3" s="23">
        <v>42</v>
      </c>
    </row>
    <row r="4" spans="1:3" ht="14.4" x14ac:dyDescent="0.25">
      <c r="A4" s="21">
        <v>20</v>
      </c>
      <c r="B4" s="22">
        <v>0.01</v>
      </c>
      <c r="C4" s="21">
        <v>83.9</v>
      </c>
    </row>
    <row r="5" spans="1:3" ht="14.4" x14ac:dyDescent="0.25">
      <c r="A5" s="23">
        <v>40</v>
      </c>
      <c r="B5" s="24">
        <v>0.01</v>
      </c>
      <c r="C5" s="23">
        <v>167.4</v>
      </c>
    </row>
    <row r="6" spans="1:3" ht="14.4" x14ac:dyDescent="0.25">
      <c r="A6" s="21">
        <v>60</v>
      </c>
      <c r="B6" s="22">
        <v>0.01</v>
      </c>
      <c r="C6" s="21">
        <v>2611.3000000000002</v>
      </c>
    </row>
    <row r="7" spans="1:3" ht="14.4" x14ac:dyDescent="0.25">
      <c r="A7" s="23">
        <v>80</v>
      </c>
      <c r="B7" s="24">
        <v>0.01</v>
      </c>
      <c r="C7" s="23">
        <v>2649.3</v>
      </c>
    </row>
    <row r="8" spans="1:3" ht="14.4" x14ac:dyDescent="0.25">
      <c r="A8" s="21">
        <v>100</v>
      </c>
      <c r="B8" s="22">
        <v>0.01</v>
      </c>
      <c r="C8" s="21">
        <v>2687.3</v>
      </c>
    </row>
    <row r="9" spans="1:3" ht="14.4" x14ac:dyDescent="0.25">
      <c r="A9" s="23">
        <v>120</v>
      </c>
      <c r="B9" s="24">
        <v>0.01</v>
      </c>
      <c r="C9" s="23">
        <v>2725.4</v>
      </c>
    </row>
    <row r="10" spans="1:3" ht="14.4" x14ac:dyDescent="0.25">
      <c r="A10" s="21">
        <v>140</v>
      </c>
      <c r="B10" s="22">
        <v>0.01</v>
      </c>
      <c r="C10" s="21">
        <v>2763.6</v>
      </c>
    </row>
    <row r="11" spans="1:3" ht="14.4" x14ac:dyDescent="0.25">
      <c r="A11" s="23">
        <v>160</v>
      </c>
      <c r="B11" s="24">
        <v>0.01</v>
      </c>
      <c r="C11" s="23">
        <v>2802</v>
      </c>
    </row>
    <row r="12" spans="1:3" ht="14.4" x14ac:dyDescent="0.25">
      <c r="A12" s="21">
        <v>180</v>
      </c>
      <c r="B12" s="22">
        <v>0.01</v>
      </c>
      <c r="C12" s="21">
        <v>2840.6</v>
      </c>
    </row>
    <row r="13" spans="1:3" ht="14.4" x14ac:dyDescent="0.25">
      <c r="A13" s="23">
        <v>200</v>
      </c>
      <c r="B13" s="24">
        <v>0.01</v>
      </c>
      <c r="C13" s="23">
        <v>2879.3</v>
      </c>
    </row>
    <row r="14" spans="1:3" ht="14.4" x14ac:dyDescent="0.25">
      <c r="A14" s="21">
        <v>220</v>
      </c>
      <c r="B14" s="22">
        <v>0.01</v>
      </c>
      <c r="C14" s="21">
        <v>2918.3</v>
      </c>
    </row>
    <row r="15" spans="1:3" ht="14.4" x14ac:dyDescent="0.25">
      <c r="A15" s="23">
        <v>240</v>
      </c>
      <c r="B15" s="24">
        <v>0.01</v>
      </c>
      <c r="C15" s="23">
        <v>2957.4</v>
      </c>
    </row>
    <row r="16" spans="1:3" ht="14.4" x14ac:dyDescent="0.25">
      <c r="A16" s="21">
        <v>260</v>
      </c>
      <c r="B16" s="22">
        <v>0.01</v>
      </c>
      <c r="C16" s="21">
        <v>2996.8</v>
      </c>
    </row>
    <row r="17" spans="1:3" ht="14.4" x14ac:dyDescent="0.25">
      <c r="A17" s="23">
        <v>280</v>
      </c>
      <c r="B17" s="24">
        <v>0.01</v>
      </c>
      <c r="C17" s="23">
        <v>3036.5</v>
      </c>
    </row>
    <row r="18" spans="1:3" ht="14.4" x14ac:dyDescent="0.25">
      <c r="A18" s="21">
        <v>300</v>
      </c>
      <c r="B18" s="22">
        <v>0.01</v>
      </c>
      <c r="C18" s="21">
        <v>3076.3</v>
      </c>
    </row>
    <row r="19" spans="1:3" ht="14.4" x14ac:dyDescent="0.25">
      <c r="A19" s="23">
        <v>350</v>
      </c>
      <c r="B19" s="24">
        <v>0.01</v>
      </c>
      <c r="C19" s="23">
        <v>3177</v>
      </c>
    </row>
    <row r="20" spans="1:3" ht="14.4" x14ac:dyDescent="0.25">
      <c r="A20" s="21">
        <v>400</v>
      </c>
      <c r="B20" s="22">
        <v>0.01</v>
      </c>
      <c r="C20" s="21">
        <v>3279.4</v>
      </c>
    </row>
    <row r="21" spans="1:3" ht="14.4" x14ac:dyDescent="0.25">
      <c r="A21" s="23">
        <v>420</v>
      </c>
      <c r="B21" s="24">
        <v>0.01</v>
      </c>
      <c r="C21" s="23">
        <v>3320.96</v>
      </c>
    </row>
    <row r="22" spans="1:3" ht="14.4" x14ac:dyDescent="0.25">
      <c r="A22" s="21">
        <v>440</v>
      </c>
      <c r="B22" s="22">
        <v>0.01</v>
      </c>
      <c r="C22" s="21">
        <v>3362.52</v>
      </c>
    </row>
    <row r="23" spans="1:3" ht="14.4" x14ac:dyDescent="0.25">
      <c r="A23" s="23">
        <v>450</v>
      </c>
      <c r="B23" s="24">
        <v>0.01</v>
      </c>
      <c r="C23" s="23">
        <v>3383.3</v>
      </c>
    </row>
    <row r="24" spans="1:3" ht="14.4" x14ac:dyDescent="0.25">
      <c r="A24" s="21">
        <v>460</v>
      </c>
      <c r="B24" s="22">
        <v>0.01</v>
      </c>
      <c r="C24" s="21">
        <v>3404.42</v>
      </c>
    </row>
    <row r="25" spans="1:3" ht="14.4" x14ac:dyDescent="0.25">
      <c r="A25" s="23">
        <v>480</v>
      </c>
      <c r="B25" s="24">
        <v>0.01</v>
      </c>
      <c r="C25" s="23">
        <v>3446.66</v>
      </c>
    </row>
    <row r="26" spans="1:3" ht="14.4" x14ac:dyDescent="0.25">
      <c r="A26" s="21">
        <v>500</v>
      </c>
      <c r="B26" s="22">
        <v>0.01</v>
      </c>
      <c r="C26" s="21">
        <v>3488.9</v>
      </c>
    </row>
    <row r="27" spans="1:3" ht="14.4" x14ac:dyDescent="0.25">
      <c r="A27" s="23">
        <v>520</v>
      </c>
      <c r="B27" s="24">
        <v>0.01</v>
      </c>
      <c r="C27" s="23">
        <v>3531.82</v>
      </c>
    </row>
    <row r="28" spans="1:3" ht="14.4" x14ac:dyDescent="0.25">
      <c r="A28" s="21">
        <v>540</v>
      </c>
      <c r="B28" s="22">
        <v>0.01</v>
      </c>
      <c r="C28" s="21">
        <v>3574.74</v>
      </c>
    </row>
    <row r="29" spans="1:3" ht="14.4" x14ac:dyDescent="0.25">
      <c r="A29" s="23">
        <v>550</v>
      </c>
      <c r="B29" s="24">
        <v>0.01</v>
      </c>
      <c r="C29" s="23">
        <v>3596.2</v>
      </c>
    </row>
    <row r="30" spans="1:3" ht="14.4" x14ac:dyDescent="0.25">
      <c r="A30" s="21">
        <v>560</v>
      </c>
      <c r="B30" s="22">
        <v>0.01</v>
      </c>
      <c r="C30" s="21">
        <v>3618</v>
      </c>
    </row>
    <row r="31" spans="1:3" ht="14.4" x14ac:dyDescent="0.25">
      <c r="A31" s="23">
        <v>580</v>
      </c>
      <c r="B31" s="24">
        <v>0.01</v>
      </c>
      <c r="C31" s="23">
        <v>3661.6</v>
      </c>
    </row>
    <row r="32" spans="1:3" ht="14.4" x14ac:dyDescent="0.25">
      <c r="A32" s="21">
        <v>600</v>
      </c>
      <c r="B32" s="22">
        <v>0.01</v>
      </c>
      <c r="C32" s="21">
        <v>3705.2</v>
      </c>
    </row>
    <row r="33" spans="1:3" ht="14.4" x14ac:dyDescent="0.25">
      <c r="A33" s="23">
        <v>0</v>
      </c>
      <c r="B33" s="24">
        <v>0.1</v>
      </c>
      <c r="C33" s="23">
        <v>0.1</v>
      </c>
    </row>
    <row r="34" spans="1:3" ht="14.4" x14ac:dyDescent="0.25">
      <c r="A34" s="21">
        <v>10</v>
      </c>
      <c r="B34" s="22">
        <v>0.1</v>
      </c>
      <c r="C34" s="21">
        <v>42.1</v>
      </c>
    </row>
    <row r="35" spans="1:3" ht="14.4" x14ac:dyDescent="0.25">
      <c r="A35" s="23">
        <v>20</v>
      </c>
      <c r="B35" s="24">
        <v>0.1</v>
      </c>
      <c r="C35" s="23">
        <v>84</v>
      </c>
    </row>
    <row r="36" spans="1:3" ht="14.4" x14ac:dyDescent="0.25">
      <c r="A36" s="21">
        <v>40</v>
      </c>
      <c r="B36" s="22">
        <v>0.1</v>
      </c>
      <c r="C36" s="21">
        <v>167.5</v>
      </c>
    </row>
    <row r="37" spans="1:3" ht="14.4" x14ac:dyDescent="0.25">
      <c r="A37" s="23">
        <v>60</v>
      </c>
      <c r="B37" s="24">
        <v>0.1</v>
      </c>
      <c r="C37" s="23">
        <v>251.2</v>
      </c>
    </row>
    <row r="38" spans="1:3" ht="14.4" x14ac:dyDescent="0.25">
      <c r="A38" s="21">
        <v>80</v>
      </c>
      <c r="B38" s="22">
        <v>0.1</v>
      </c>
      <c r="C38" s="21">
        <v>335</v>
      </c>
    </row>
    <row r="39" spans="1:3" ht="14.4" x14ac:dyDescent="0.25">
      <c r="A39" s="23">
        <v>100</v>
      </c>
      <c r="B39" s="24">
        <v>0.1</v>
      </c>
      <c r="C39" s="23">
        <v>2676.5</v>
      </c>
    </row>
    <row r="40" spans="1:3" ht="14.4" x14ac:dyDescent="0.25">
      <c r="A40" s="21">
        <v>120</v>
      </c>
      <c r="B40" s="22">
        <v>0.1</v>
      </c>
      <c r="C40" s="21">
        <v>2716.8</v>
      </c>
    </row>
    <row r="41" spans="1:3" ht="14.4" x14ac:dyDescent="0.25">
      <c r="A41" s="23">
        <v>140</v>
      </c>
      <c r="B41" s="24">
        <v>0.1</v>
      </c>
      <c r="C41" s="23">
        <v>2756.6</v>
      </c>
    </row>
    <row r="42" spans="1:3" ht="14.4" x14ac:dyDescent="0.25">
      <c r="A42" s="21">
        <v>160</v>
      </c>
      <c r="B42" s="22">
        <v>0.1</v>
      </c>
      <c r="C42" s="21">
        <v>2796.2</v>
      </c>
    </row>
    <row r="43" spans="1:3" ht="14.4" x14ac:dyDescent="0.25">
      <c r="A43" s="23">
        <v>180</v>
      </c>
      <c r="B43" s="24">
        <v>0.1</v>
      </c>
      <c r="C43" s="23">
        <v>2835.7</v>
      </c>
    </row>
    <row r="44" spans="1:3" ht="14.4" x14ac:dyDescent="0.25">
      <c r="A44" s="21">
        <v>200</v>
      </c>
      <c r="B44" s="22">
        <v>0.1</v>
      </c>
      <c r="C44" s="21">
        <v>2875.2</v>
      </c>
    </row>
    <row r="45" spans="1:3" ht="14.4" x14ac:dyDescent="0.25">
      <c r="A45" s="23">
        <v>220</v>
      </c>
      <c r="B45" s="24">
        <v>0.1</v>
      </c>
      <c r="C45" s="23">
        <v>2914.7</v>
      </c>
    </row>
    <row r="46" spans="1:3" ht="14.4" x14ac:dyDescent="0.25">
      <c r="A46" s="21">
        <v>240</v>
      </c>
      <c r="B46" s="22">
        <v>0.1</v>
      </c>
      <c r="C46" s="21">
        <v>2954.3</v>
      </c>
    </row>
    <row r="47" spans="1:3" ht="14.4" x14ac:dyDescent="0.25">
      <c r="A47" s="23">
        <v>260</v>
      </c>
      <c r="B47" s="24">
        <v>0.1</v>
      </c>
      <c r="C47" s="23">
        <v>2994.1</v>
      </c>
    </row>
    <row r="48" spans="1:3" ht="14.4" x14ac:dyDescent="0.25">
      <c r="A48" s="21">
        <v>280</v>
      </c>
      <c r="B48" s="22">
        <v>0.1</v>
      </c>
      <c r="C48" s="21">
        <v>3034</v>
      </c>
    </row>
    <row r="49" spans="1:3" ht="14.4" x14ac:dyDescent="0.25">
      <c r="A49" s="23">
        <v>300</v>
      </c>
      <c r="B49" s="24">
        <v>0.1</v>
      </c>
      <c r="C49" s="23">
        <v>3074.1</v>
      </c>
    </row>
    <row r="50" spans="1:3" ht="14.4" x14ac:dyDescent="0.25">
      <c r="A50" s="21">
        <v>350</v>
      </c>
      <c r="B50" s="22">
        <v>0.1</v>
      </c>
      <c r="C50" s="21">
        <v>3175.3</v>
      </c>
    </row>
    <row r="51" spans="1:3" ht="14.4" x14ac:dyDescent="0.25">
      <c r="A51" s="23">
        <v>400</v>
      </c>
      <c r="B51" s="24">
        <v>0.1</v>
      </c>
      <c r="C51" s="23">
        <v>3278</v>
      </c>
    </row>
    <row r="52" spans="1:3" ht="14.4" x14ac:dyDescent="0.25">
      <c r="A52" s="21">
        <v>420</v>
      </c>
      <c r="B52" s="22">
        <v>0.1</v>
      </c>
      <c r="C52" s="21">
        <v>3319.68</v>
      </c>
    </row>
    <row r="53" spans="1:3" ht="14.4" x14ac:dyDescent="0.25">
      <c r="A53" s="23">
        <v>440</v>
      </c>
      <c r="B53" s="24">
        <v>0.1</v>
      </c>
      <c r="C53" s="23">
        <v>3361.36</v>
      </c>
    </row>
    <row r="54" spans="1:3" ht="14.4" x14ac:dyDescent="0.25">
      <c r="A54" s="21">
        <v>450</v>
      </c>
      <c r="B54" s="22">
        <v>0.1</v>
      </c>
      <c r="C54" s="21">
        <v>3382.2</v>
      </c>
    </row>
    <row r="55" spans="1:3" ht="14.4" x14ac:dyDescent="0.25">
      <c r="A55" s="23">
        <v>460</v>
      </c>
      <c r="B55" s="24">
        <v>0.1</v>
      </c>
      <c r="C55" s="23">
        <v>3403.34</v>
      </c>
    </row>
    <row r="56" spans="1:3" ht="14.4" x14ac:dyDescent="0.25">
      <c r="A56" s="21">
        <v>480</v>
      </c>
      <c r="B56" s="22">
        <v>0.1</v>
      </c>
      <c r="C56" s="21">
        <v>3445.62</v>
      </c>
    </row>
    <row r="57" spans="1:3" ht="14.4" x14ac:dyDescent="0.25">
      <c r="A57" s="23">
        <v>500</v>
      </c>
      <c r="B57" s="24">
        <v>0.1</v>
      </c>
      <c r="C57" s="23">
        <v>3487.9</v>
      </c>
    </row>
    <row r="58" spans="1:3" ht="14.4" x14ac:dyDescent="0.25">
      <c r="A58" s="21">
        <v>520</v>
      </c>
      <c r="B58" s="22">
        <v>0.1</v>
      </c>
      <c r="C58" s="21">
        <v>3530.9</v>
      </c>
    </row>
    <row r="59" spans="1:3" ht="14.4" x14ac:dyDescent="0.25">
      <c r="A59" s="23">
        <v>540</v>
      </c>
      <c r="B59" s="24">
        <v>0.1</v>
      </c>
      <c r="C59" s="23">
        <v>3573.9</v>
      </c>
    </row>
    <row r="60" spans="1:3" ht="14.4" x14ac:dyDescent="0.25">
      <c r="A60" s="21">
        <v>550</v>
      </c>
      <c r="B60" s="22">
        <v>0.1</v>
      </c>
      <c r="C60" s="21">
        <v>3595.4</v>
      </c>
    </row>
    <row r="61" spans="1:3" ht="14.4" x14ac:dyDescent="0.25">
      <c r="A61" s="23">
        <v>560</v>
      </c>
      <c r="B61" s="24">
        <v>0.1</v>
      </c>
      <c r="C61" s="23">
        <v>3617.22</v>
      </c>
    </row>
    <row r="62" spans="1:3" ht="14.4" x14ac:dyDescent="0.25">
      <c r="A62" s="21">
        <v>580</v>
      </c>
      <c r="B62" s="22">
        <v>0.1</v>
      </c>
      <c r="C62" s="21">
        <v>3660.86</v>
      </c>
    </row>
    <row r="63" spans="1:3" ht="14.4" x14ac:dyDescent="0.25">
      <c r="A63" s="23">
        <v>600</v>
      </c>
      <c r="B63" s="24">
        <v>0.1</v>
      </c>
      <c r="C63" s="23">
        <v>3704.5</v>
      </c>
    </row>
    <row r="64" spans="1:3" ht="14.4" x14ac:dyDescent="0.25">
      <c r="A64" s="21">
        <v>0</v>
      </c>
      <c r="B64" s="22">
        <v>0.5</v>
      </c>
      <c r="C64" s="21">
        <v>0.5</v>
      </c>
    </row>
    <row r="65" spans="1:3" ht="14.4" x14ac:dyDescent="0.25">
      <c r="A65" s="23">
        <v>10</v>
      </c>
      <c r="B65" s="24">
        <v>0.5</v>
      </c>
      <c r="C65" s="23">
        <v>42.5</v>
      </c>
    </row>
    <row r="66" spans="1:3" ht="14.4" x14ac:dyDescent="0.25">
      <c r="A66" s="21">
        <v>20</v>
      </c>
      <c r="B66" s="22">
        <v>0.5</v>
      </c>
      <c r="C66" s="21">
        <v>84.3</v>
      </c>
    </row>
    <row r="67" spans="1:3" ht="14.4" x14ac:dyDescent="0.25">
      <c r="A67" s="23">
        <v>40</v>
      </c>
      <c r="B67" s="24">
        <v>0.5</v>
      </c>
      <c r="C67" s="23">
        <v>167.9</v>
      </c>
    </row>
    <row r="68" spans="1:3" ht="14.4" x14ac:dyDescent="0.25">
      <c r="A68" s="21">
        <v>60</v>
      </c>
      <c r="B68" s="22">
        <v>0.5</v>
      </c>
      <c r="C68" s="21">
        <v>251.2</v>
      </c>
    </row>
    <row r="69" spans="1:3" ht="14.4" x14ac:dyDescent="0.25">
      <c r="A69" s="23">
        <v>80</v>
      </c>
      <c r="B69" s="24">
        <v>0.5</v>
      </c>
      <c r="C69" s="23">
        <v>335.3</v>
      </c>
    </row>
    <row r="70" spans="1:3" ht="14.4" x14ac:dyDescent="0.25">
      <c r="A70" s="21">
        <v>100</v>
      </c>
      <c r="B70" s="22">
        <v>0.5</v>
      </c>
      <c r="C70" s="21">
        <v>419.4</v>
      </c>
    </row>
    <row r="71" spans="1:3" ht="14.4" x14ac:dyDescent="0.25">
      <c r="A71" s="23">
        <v>120</v>
      </c>
      <c r="B71" s="24">
        <v>0.5</v>
      </c>
      <c r="C71" s="23">
        <v>503.9</v>
      </c>
    </row>
    <row r="72" spans="1:3" ht="14.4" x14ac:dyDescent="0.25">
      <c r="A72" s="21">
        <v>140</v>
      </c>
      <c r="B72" s="22">
        <v>0.5</v>
      </c>
      <c r="C72" s="21">
        <v>589.20000000000005</v>
      </c>
    </row>
    <row r="73" spans="1:3" ht="14.4" x14ac:dyDescent="0.25">
      <c r="A73" s="23">
        <v>160</v>
      </c>
      <c r="B73" s="24">
        <v>0.5</v>
      </c>
      <c r="C73" s="23">
        <v>2767.3</v>
      </c>
    </row>
    <row r="74" spans="1:3" ht="14.4" x14ac:dyDescent="0.25">
      <c r="A74" s="21">
        <v>180</v>
      </c>
      <c r="B74" s="22">
        <v>0.5</v>
      </c>
      <c r="C74" s="21">
        <v>2812.1</v>
      </c>
    </row>
    <row r="75" spans="1:3" ht="14.4" x14ac:dyDescent="0.25">
      <c r="A75" s="23">
        <v>200</v>
      </c>
      <c r="B75" s="24">
        <v>0.5</v>
      </c>
      <c r="C75" s="23">
        <v>2855.5</v>
      </c>
    </row>
    <row r="76" spans="1:3" ht="14.4" x14ac:dyDescent="0.25">
      <c r="A76" s="21">
        <v>220</v>
      </c>
      <c r="B76" s="22">
        <v>0.5</v>
      </c>
      <c r="C76" s="21">
        <v>2898</v>
      </c>
    </row>
    <row r="77" spans="1:3" ht="14.4" x14ac:dyDescent="0.25">
      <c r="A77" s="23">
        <v>240</v>
      </c>
      <c r="B77" s="24">
        <v>0.5</v>
      </c>
      <c r="C77" s="23">
        <v>2939.9</v>
      </c>
    </row>
    <row r="78" spans="1:3" ht="14.4" x14ac:dyDescent="0.25">
      <c r="A78" s="21">
        <v>260</v>
      </c>
      <c r="B78" s="22">
        <v>0.5</v>
      </c>
      <c r="C78" s="21">
        <v>2981.5</v>
      </c>
    </row>
    <row r="79" spans="1:3" ht="14.4" x14ac:dyDescent="0.25">
      <c r="A79" s="23">
        <v>280</v>
      </c>
      <c r="B79" s="24">
        <v>0.5</v>
      </c>
      <c r="C79" s="23">
        <v>3022.9</v>
      </c>
    </row>
    <row r="80" spans="1:3" ht="14.4" x14ac:dyDescent="0.25">
      <c r="A80" s="21">
        <v>300</v>
      </c>
      <c r="B80" s="22">
        <v>0.5</v>
      </c>
      <c r="C80" s="21">
        <v>3064.2</v>
      </c>
    </row>
    <row r="81" spans="1:3" ht="14.4" x14ac:dyDescent="0.25">
      <c r="A81" s="23">
        <v>350</v>
      </c>
      <c r="B81" s="24">
        <v>0.5</v>
      </c>
      <c r="C81" s="23">
        <v>3167.6</v>
      </c>
    </row>
    <row r="82" spans="1:3" ht="14.4" x14ac:dyDescent="0.25">
      <c r="A82" s="21">
        <v>400</v>
      </c>
      <c r="B82" s="22">
        <v>0.5</v>
      </c>
      <c r="C82" s="21">
        <v>3217.8</v>
      </c>
    </row>
    <row r="83" spans="1:3" ht="14.4" x14ac:dyDescent="0.25">
      <c r="A83" s="23">
        <v>420</v>
      </c>
      <c r="B83" s="24">
        <v>0.5</v>
      </c>
      <c r="C83" s="23">
        <v>3313.8</v>
      </c>
    </row>
    <row r="84" spans="1:3" ht="14.4" x14ac:dyDescent="0.25">
      <c r="A84" s="21">
        <v>440</v>
      </c>
      <c r="B84" s="22">
        <v>0.5</v>
      </c>
      <c r="C84" s="21">
        <v>3355.9</v>
      </c>
    </row>
    <row r="85" spans="1:3" ht="14.4" x14ac:dyDescent="0.25">
      <c r="A85" s="23">
        <v>450</v>
      </c>
      <c r="B85" s="24">
        <v>0.5</v>
      </c>
      <c r="C85" s="23">
        <v>3377.1</v>
      </c>
    </row>
    <row r="86" spans="1:3" ht="14.4" x14ac:dyDescent="0.25">
      <c r="A86" s="21">
        <v>460</v>
      </c>
      <c r="B86" s="22">
        <v>0.5</v>
      </c>
      <c r="C86" s="21">
        <v>3398.3</v>
      </c>
    </row>
    <row r="87" spans="1:3" ht="14.4" x14ac:dyDescent="0.25">
      <c r="A87" s="23">
        <v>480</v>
      </c>
      <c r="B87" s="24">
        <v>0.5</v>
      </c>
      <c r="C87" s="23">
        <v>3440.9</v>
      </c>
    </row>
    <row r="88" spans="1:3" ht="14.4" x14ac:dyDescent="0.25">
      <c r="A88" s="21">
        <v>500</v>
      </c>
      <c r="B88" s="22">
        <v>0.5</v>
      </c>
      <c r="C88" s="21">
        <v>3483.7</v>
      </c>
    </row>
    <row r="89" spans="1:3" ht="14.4" x14ac:dyDescent="0.25">
      <c r="A89" s="23">
        <v>520</v>
      </c>
      <c r="B89" s="24">
        <v>0.5</v>
      </c>
      <c r="C89" s="23">
        <v>3526.9</v>
      </c>
    </row>
    <row r="90" spans="1:3" ht="14.4" x14ac:dyDescent="0.25">
      <c r="A90" s="21">
        <v>540</v>
      </c>
      <c r="B90" s="22">
        <v>0.5</v>
      </c>
      <c r="C90" s="21">
        <v>3570.1</v>
      </c>
    </row>
    <row r="91" spans="1:3" ht="14.4" x14ac:dyDescent="0.25">
      <c r="A91" s="23">
        <v>550</v>
      </c>
      <c r="B91" s="24">
        <v>0.5</v>
      </c>
      <c r="C91" s="23">
        <v>3591.7</v>
      </c>
    </row>
    <row r="92" spans="1:3" ht="14.4" x14ac:dyDescent="0.25">
      <c r="A92" s="21">
        <v>560</v>
      </c>
      <c r="B92" s="22">
        <v>0.5</v>
      </c>
      <c r="C92" s="21">
        <v>3613.64</v>
      </c>
    </row>
    <row r="93" spans="1:3" ht="14.4" x14ac:dyDescent="0.25">
      <c r="A93" s="23">
        <v>580</v>
      </c>
      <c r="B93" s="24">
        <v>0.5</v>
      </c>
      <c r="C93" s="23">
        <v>3657.52</v>
      </c>
    </row>
    <row r="94" spans="1:3" ht="14.4" x14ac:dyDescent="0.25">
      <c r="A94" s="21">
        <v>600</v>
      </c>
      <c r="B94" s="22">
        <v>0.5</v>
      </c>
      <c r="C94" s="21">
        <v>3701.4</v>
      </c>
    </row>
    <row r="95" spans="1:3" ht="14.4" x14ac:dyDescent="0.25">
      <c r="A95" s="23">
        <v>0</v>
      </c>
      <c r="B95" s="24">
        <v>1</v>
      </c>
      <c r="C95" s="23">
        <v>1</v>
      </c>
    </row>
    <row r="96" spans="1:3" ht="14.4" x14ac:dyDescent="0.25">
      <c r="A96" s="21">
        <v>10</v>
      </c>
      <c r="B96" s="22">
        <v>1</v>
      </c>
      <c r="C96" s="21">
        <v>43</v>
      </c>
    </row>
    <row r="97" spans="1:3" ht="14.4" x14ac:dyDescent="0.25">
      <c r="A97" s="23">
        <v>20</v>
      </c>
      <c r="B97" s="24">
        <v>1</v>
      </c>
      <c r="C97" s="23">
        <v>84.8</v>
      </c>
    </row>
    <row r="98" spans="1:3" ht="14.4" x14ac:dyDescent="0.25">
      <c r="A98" s="21">
        <v>40</v>
      </c>
      <c r="B98" s="22">
        <v>1</v>
      </c>
      <c r="C98" s="21">
        <v>168.3</v>
      </c>
    </row>
    <row r="99" spans="1:3" ht="14.4" x14ac:dyDescent="0.25">
      <c r="A99" s="23">
        <v>60</v>
      </c>
      <c r="B99" s="24">
        <v>1</v>
      </c>
      <c r="C99" s="23">
        <v>251.9</v>
      </c>
    </row>
    <row r="100" spans="1:3" ht="14.4" x14ac:dyDescent="0.25">
      <c r="A100" s="21">
        <v>80</v>
      </c>
      <c r="B100" s="22">
        <v>1</v>
      </c>
      <c r="C100" s="21">
        <v>335.7</v>
      </c>
    </row>
    <row r="101" spans="1:3" ht="14.4" x14ac:dyDescent="0.25">
      <c r="A101" s="23">
        <v>100</v>
      </c>
      <c r="B101" s="24">
        <v>1</v>
      </c>
      <c r="C101" s="23">
        <v>419.7</v>
      </c>
    </row>
    <row r="102" spans="1:3" ht="14.4" x14ac:dyDescent="0.25">
      <c r="A102" s="21">
        <v>120</v>
      </c>
      <c r="B102" s="22">
        <v>1</v>
      </c>
      <c r="C102" s="21">
        <v>504.3</v>
      </c>
    </row>
    <row r="103" spans="1:3" ht="14.4" x14ac:dyDescent="0.25">
      <c r="A103" s="23">
        <v>140</v>
      </c>
      <c r="B103" s="24">
        <v>1</v>
      </c>
      <c r="C103" s="23">
        <v>589.5</v>
      </c>
    </row>
    <row r="104" spans="1:3" ht="14.4" x14ac:dyDescent="0.25">
      <c r="A104" s="21">
        <v>160</v>
      </c>
      <c r="B104" s="22">
        <v>1</v>
      </c>
      <c r="C104" s="21">
        <v>675.7</v>
      </c>
    </row>
    <row r="105" spans="1:3" ht="14.4" x14ac:dyDescent="0.25">
      <c r="A105" s="23">
        <v>180</v>
      </c>
      <c r="B105" s="24">
        <v>1</v>
      </c>
      <c r="C105" s="23">
        <v>2777.3</v>
      </c>
    </row>
    <row r="106" spans="1:3" ht="14.4" x14ac:dyDescent="0.25">
      <c r="A106" s="21">
        <v>200</v>
      </c>
      <c r="B106" s="22">
        <v>1</v>
      </c>
      <c r="C106" s="21">
        <v>2827.5</v>
      </c>
    </row>
    <row r="107" spans="1:3" ht="14.4" x14ac:dyDescent="0.25">
      <c r="A107" s="23">
        <v>220</v>
      </c>
      <c r="B107" s="24">
        <v>1</v>
      </c>
      <c r="C107" s="23">
        <v>2874.9</v>
      </c>
    </row>
    <row r="108" spans="1:3" ht="14.4" x14ac:dyDescent="0.25">
      <c r="A108" s="21">
        <v>240</v>
      </c>
      <c r="B108" s="22">
        <v>1</v>
      </c>
      <c r="C108" s="21">
        <v>2920.5</v>
      </c>
    </row>
    <row r="109" spans="1:3" ht="14.4" x14ac:dyDescent="0.25">
      <c r="A109" s="23">
        <v>260</v>
      </c>
      <c r="B109" s="24">
        <v>1</v>
      </c>
      <c r="C109" s="23">
        <v>2964.8</v>
      </c>
    </row>
    <row r="110" spans="1:3" ht="14.4" x14ac:dyDescent="0.25">
      <c r="A110" s="21">
        <v>280</v>
      </c>
      <c r="B110" s="22">
        <v>1</v>
      </c>
      <c r="C110" s="21">
        <v>3008.3</v>
      </c>
    </row>
    <row r="111" spans="1:3" ht="14.4" x14ac:dyDescent="0.25">
      <c r="A111" s="23">
        <v>300</v>
      </c>
      <c r="B111" s="24">
        <v>1</v>
      </c>
      <c r="C111" s="23">
        <v>3051.3</v>
      </c>
    </row>
    <row r="112" spans="1:3" ht="14.4" x14ac:dyDescent="0.25">
      <c r="A112" s="21">
        <v>350</v>
      </c>
      <c r="B112" s="22">
        <v>1</v>
      </c>
      <c r="C112" s="21">
        <v>3157.7</v>
      </c>
    </row>
    <row r="113" spans="1:3" ht="14.4" x14ac:dyDescent="0.25">
      <c r="A113" s="23">
        <v>400</v>
      </c>
      <c r="B113" s="24">
        <v>1</v>
      </c>
      <c r="C113" s="23">
        <v>3264</v>
      </c>
    </row>
    <row r="114" spans="1:3" ht="14.4" x14ac:dyDescent="0.25">
      <c r="A114" s="21">
        <v>420</v>
      </c>
      <c r="B114" s="22">
        <v>1</v>
      </c>
      <c r="C114" s="21">
        <v>3306.6</v>
      </c>
    </row>
    <row r="115" spans="1:3" ht="14.4" x14ac:dyDescent="0.25">
      <c r="A115" s="23">
        <v>440</v>
      </c>
      <c r="B115" s="24">
        <v>1</v>
      </c>
      <c r="C115" s="23">
        <v>3349.3</v>
      </c>
    </row>
    <row r="116" spans="1:3" ht="14.4" x14ac:dyDescent="0.25">
      <c r="A116" s="21">
        <v>450</v>
      </c>
      <c r="B116" s="22">
        <v>1</v>
      </c>
      <c r="C116" s="21">
        <v>3370.7</v>
      </c>
    </row>
    <row r="117" spans="1:3" ht="14.4" x14ac:dyDescent="0.25">
      <c r="A117" s="23">
        <v>460</v>
      </c>
      <c r="B117" s="24">
        <v>1</v>
      </c>
      <c r="C117" s="23">
        <v>3392.1</v>
      </c>
    </row>
    <row r="118" spans="1:3" ht="14.4" x14ac:dyDescent="0.25">
      <c r="A118" s="21">
        <v>480</v>
      </c>
      <c r="B118" s="22">
        <v>1</v>
      </c>
      <c r="C118" s="21">
        <v>3435.1</v>
      </c>
    </row>
    <row r="119" spans="1:3" ht="14.4" x14ac:dyDescent="0.25">
      <c r="A119" s="23">
        <v>500</v>
      </c>
      <c r="B119" s="24">
        <v>1</v>
      </c>
      <c r="C119" s="23">
        <v>3478.3</v>
      </c>
    </row>
    <row r="120" spans="1:3" ht="14.4" x14ac:dyDescent="0.25">
      <c r="A120" s="21">
        <v>520</v>
      </c>
      <c r="B120" s="22">
        <v>1</v>
      </c>
      <c r="C120" s="21">
        <v>3521.86</v>
      </c>
    </row>
    <row r="121" spans="1:3" ht="14.4" x14ac:dyDescent="0.25">
      <c r="A121" s="23">
        <v>540</v>
      </c>
      <c r="B121" s="24">
        <v>1</v>
      </c>
      <c r="C121" s="23">
        <v>3565.42</v>
      </c>
    </row>
    <row r="122" spans="1:3" ht="14.4" x14ac:dyDescent="0.25">
      <c r="A122" s="21">
        <v>550</v>
      </c>
      <c r="B122" s="22">
        <v>1</v>
      </c>
      <c r="C122" s="21">
        <v>3587.2</v>
      </c>
    </row>
    <row r="123" spans="1:3" ht="14.4" x14ac:dyDescent="0.25">
      <c r="A123" s="23">
        <v>560</v>
      </c>
      <c r="B123" s="24">
        <v>1</v>
      </c>
      <c r="C123" s="23">
        <v>3609.24</v>
      </c>
    </row>
    <row r="124" spans="1:3" ht="14.4" x14ac:dyDescent="0.25">
      <c r="A124" s="21">
        <v>580</v>
      </c>
      <c r="B124" s="22">
        <v>1</v>
      </c>
      <c r="C124" s="21">
        <v>3653.32</v>
      </c>
    </row>
    <row r="125" spans="1:3" ht="14.4" x14ac:dyDescent="0.25">
      <c r="A125" s="23">
        <v>600</v>
      </c>
      <c r="B125" s="24">
        <v>1</v>
      </c>
      <c r="C125" s="23">
        <v>3697.4</v>
      </c>
    </row>
    <row r="126" spans="1:3" ht="14.4" x14ac:dyDescent="0.25">
      <c r="A126" s="21">
        <v>0</v>
      </c>
      <c r="B126" s="22">
        <v>3</v>
      </c>
      <c r="C126" s="21">
        <v>3</v>
      </c>
    </row>
    <row r="127" spans="1:3" ht="14.4" x14ac:dyDescent="0.25">
      <c r="A127" s="23">
        <v>10</v>
      </c>
      <c r="B127" s="24">
        <v>3</v>
      </c>
      <c r="C127" s="23">
        <v>44.9</v>
      </c>
    </row>
    <row r="128" spans="1:3" ht="14.4" x14ac:dyDescent="0.25">
      <c r="A128" s="21">
        <v>20</v>
      </c>
      <c r="B128" s="22">
        <v>3</v>
      </c>
      <c r="C128" s="21">
        <v>86.7</v>
      </c>
    </row>
    <row r="129" spans="1:3" ht="14.4" x14ac:dyDescent="0.25">
      <c r="A129" s="23">
        <v>40</v>
      </c>
      <c r="B129" s="24">
        <v>3</v>
      </c>
      <c r="C129" s="23">
        <v>170.1</v>
      </c>
    </row>
    <row r="130" spans="1:3" ht="14.4" x14ac:dyDescent="0.25">
      <c r="A130" s="21">
        <v>60</v>
      </c>
      <c r="B130" s="22">
        <v>3</v>
      </c>
      <c r="C130" s="21">
        <v>253.6</v>
      </c>
    </row>
    <row r="131" spans="1:3" ht="14.4" x14ac:dyDescent="0.25">
      <c r="A131" s="23">
        <v>80</v>
      </c>
      <c r="B131" s="24">
        <v>3</v>
      </c>
      <c r="C131" s="23">
        <v>337.3</v>
      </c>
    </row>
    <row r="132" spans="1:3" ht="14.4" x14ac:dyDescent="0.25">
      <c r="A132" s="21">
        <v>100</v>
      </c>
      <c r="B132" s="22">
        <v>3</v>
      </c>
      <c r="C132" s="21">
        <v>421.2</v>
      </c>
    </row>
    <row r="133" spans="1:3" ht="14.4" x14ac:dyDescent="0.25">
      <c r="A133" s="23">
        <v>120</v>
      </c>
      <c r="B133" s="24">
        <v>3</v>
      </c>
      <c r="C133" s="23">
        <v>505.7</v>
      </c>
    </row>
    <row r="134" spans="1:3" ht="14.4" x14ac:dyDescent="0.25">
      <c r="A134" s="21">
        <v>140</v>
      </c>
      <c r="B134" s="22">
        <v>3</v>
      </c>
      <c r="C134" s="21">
        <v>590.79999999999995</v>
      </c>
    </row>
    <row r="135" spans="1:3" ht="14.4" x14ac:dyDescent="0.25">
      <c r="A135" s="23">
        <v>160</v>
      </c>
      <c r="B135" s="24">
        <v>3</v>
      </c>
      <c r="C135" s="23">
        <v>676.9</v>
      </c>
    </row>
    <row r="136" spans="1:3" ht="14.4" x14ac:dyDescent="0.25">
      <c r="A136" s="21">
        <v>180</v>
      </c>
      <c r="B136" s="22">
        <v>3</v>
      </c>
      <c r="C136" s="21">
        <v>764.1</v>
      </c>
    </row>
    <row r="137" spans="1:3" ht="14.4" x14ac:dyDescent="0.25">
      <c r="A137" s="23">
        <v>200</v>
      </c>
      <c r="B137" s="24">
        <v>3</v>
      </c>
      <c r="C137" s="23">
        <v>853</v>
      </c>
    </row>
    <row r="138" spans="1:3" ht="14.4" x14ac:dyDescent="0.25">
      <c r="A138" s="21">
        <v>220</v>
      </c>
      <c r="B138" s="22">
        <v>3</v>
      </c>
      <c r="C138" s="21">
        <v>943.9</v>
      </c>
    </row>
    <row r="139" spans="1:3" ht="14.4" x14ac:dyDescent="0.25">
      <c r="A139" s="23">
        <v>240</v>
      </c>
      <c r="B139" s="24">
        <v>3</v>
      </c>
      <c r="C139" s="23">
        <v>2823</v>
      </c>
    </row>
    <row r="140" spans="1:3" ht="14.4" x14ac:dyDescent="0.25">
      <c r="A140" s="21">
        <v>260</v>
      </c>
      <c r="B140" s="22">
        <v>3</v>
      </c>
      <c r="C140" s="21">
        <v>2885.5</v>
      </c>
    </row>
    <row r="141" spans="1:3" ht="14.4" x14ac:dyDescent="0.25">
      <c r="A141" s="23">
        <v>280</v>
      </c>
      <c r="B141" s="24">
        <v>3</v>
      </c>
      <c r="C141" s="23">
        <v>2941.8</v>
      </c>
    </row>
    <row r="142" spans="1:3" ht="14.4" x14ac:dyDescent="0.25">
      <c r="A142" s="21">
        <v>300</v>
      </c>
      <c r="B142" s="22">
        <v>3</v>
      </c>
      <c r="C142" s="21">
        <v>2994.2</v>
      </c>
    </row>
    <row r="143" spans="1:3" ht="14.4" x14ac:dyDescent="0.25">
      <c r="A143" s="23">
        <v>350</v>
      </c>
      <c r="B143" s="24">
        <v>3</v>
      </c>
      <c r="C143" s="23">
        <v>3115.7</v>
      </c>
    </row>
    <row r="144" spans="1:3" ht="14.4" x14ac:dyDescent="0.25">
      <c r="A144" s="21">
        <v>400</v>
      </c>
      <c r="B144" s="22">
        <v>3</v>
      </c>
      <c r="C144" s="21">
        <v>3231.6</v>
      </c>
    </row>
    <row r="145" spans="1:3" ht="14.4" x14ac:dyDescent="0.25">
      <c r="A145" s="23">
        <v>420</v>
      </c>
      <c r="B145" s="24">
        <v>3</v>
      </c>
      <c r="C145" s="23">
        <v>3276.9</v>
      </c>
    </row>
    <row r="146" spans="1:3" ht="14.4" x14ac:dyDescent="0.25">
      <c r="A146" s="21">
        <v>440</v>
      </c>
      <c r="B146" s="22">
        <v>3</v>
      </c>
      <c r="C146" s="21">
        <v>3321.9</v>
      </c>
    </row>
    <row r="147" spans="1:3" ht="14.4" x14ac:dyDescent="0.25">
      <c r="A147" s="23">
        <v>450</v>
      </c>
      <c r="B147" s="24">
        <v>3</v>
      </c>
      <c r="C147" s="23">
        <v>3344.4</v>
      </c>
    </row>
    <row r="148" spans="1:3" ht="14.4" x14ac:dyDescent="0.25">
      <c r="A148" s="21">
        <v>460</v>
      </c>
      <c r="B148" s="22">
        <v>3</v>
      </c>
      <c r="C148" s="21">
        <v>3366.8</v>
      </c>
    </row>
    <row r="149" spans="1:3" ht="14.4" x14ac:dyDescent="0.25">
      <c r="A149" s="23">
        <v>480</v>
      </c>
      <c r="B149" s="24">
        <v>3</v>
      </c>
      <c r="C149" s="23">
        <v>3411.6</v>
      </c>
    </row>
    <row r="150" spans="1:3" ht="14.4" x14ac:dyDescent="0.25">
      <c r="A150" s="21">
        <v>500</v>
      </c>
      <c r="B150" s="22">
        <v>3</v>
      </c>
      <c r="C150" s="21">
        <v>3456.4</v>
      </c>
    </row>
    <row r="151" spans="1:3" ht="14.4" x14ac:dyDescent="0.25">
      <c r="A151" s="23">
        <v>520</v>
      </c>
      <c r="B151" s="24">
        <v>3</v>
      </c>
      <c r="C151" s="23">
        <v>3501.28</v>
      </c>
    </row>
    <row r="152" spans="1:3" ht="14.4" x14ac:dyDescent="0.25">
      <c r="A152" s="21">
        <v>540</v>
      </c>
      <c r="B152" s="22">
        <v>3</v>
      </c>
      <c r="C152" s="21">
        <v>3546.16</v>
      </c>
    </row>
    <row r="153" spans="1:3" ht="14.4" x14ac:dyDescent="0.25">
      <c r="A153" s="23">
        <v>550</v>
      </c>
      <c r="B153" s="24">
        <v>3</v>
      </c>
      <c r="C153" s="23">
        <v>3568.6</v>
      </c>
    </row>
    <row r="154" spans="1:3" ht="14.4" x14ac:dyDescent="0.25">
      <c r="A154" s="21">
        <v>560</v>
      </c>
      <c r="B154" s="22">
        <v>3</v>
      </c>
      <c r="C154" s="21">
        <v>3591.18</v>
      </c>
    </row>
    <row r="155" spans="1:3" ht="14.4" x14ac:dyDescent="0.25">
      <c r="A155" s="23">
        <v>580</v>
      </c>
      <c r="B155" s="24">
        <v>3</v>
      </c>
      <c r="C155" s="23">
        <v>3636.34</v>
      </c>
    </row>
    <row r="156" spans="1:3" ht="14.4" x14ac:dyDescent="0.25">
      <c r="A156" s="21">
        <v>600</v>
      </c>
      <c r="B156" s="22">
        <v>3</v>
      </c>
      <c r="C156" s="21">
        <v>3681.5</v>
      </c>
    </row>
    <row r="157" spans="1:3" ht="14.4" x14ac:dyDescent="0.25">
      <c r="A157" s="23">
        <v>0</v>
      </c>
      <c r="B157" s="24">
        <v>5</v>
      </c>
      <c r="C157" s="23">
        <v>5</v>
      </c>
    </row>
    <row r="158" spans="1:3" ht="14.4" x14ac:dyDescent="0.25">
      <c r="A158" s="21">
        <v>10</v>
      </c>
      <c r="B158" s="22">
        <v>5</v>
      </c>
      <c r="C158" s="21">
        <v>46.9</v>
      </c>
    </row>
    <row r="159" spans="1:3" ht="14.4" x14ac:dyDescent="0.25">
      <c r="A159" s="23">
        <v>20</v>
      </c>
      <c r="B159" s="24">
        <v>5</v>
      </c>
      <c r="C159" s="23">
        <v>88.6</v>
      </c>
    </row>
    <row r="160" spans="1:3" ht="14.4" x14ac:dyDescent="0.25">
      <c r="A160" s="21">
        <v>40</v>
      </c>
      <c r="B160" s="22">
        <v>5</v>
      </c>
      <c r="C160" s="21">
        <v>171.9</v>
      </c>
    </row>
    <row r="161" spans="1:3" ht="14.4" x14ac:dyDescent="0.25">
      <c r="A161" s="23">
        <v>60</v>
      </c>
      <c r="B161" s="24">
        <v>5</v>
      </c>
      <c r="C161" s="23">
        <v>255.3</v>
      </c>
    </row>
    <row r="162" spans="1:3" ht="14.4" x14ac:dyDescent="0.25">
      <c r="A162" s="21">
        <v>80</v>
      </c>
      <c r="B162" s="22">
        <v>5</v>
      </c>
      <c r="C162" s="21">
        <v>338.8</v>
      </c>
    </row>
    <row r="163" spans="1:3" ht="14.4" x14ac:dyDescent="0.25">
      <c r="A163" s="23">
        <v>100</v>
      </c>
      <c r="B163" s="24">
        <v>5</v>
      </c>
      <c r="C163" s="23">
        <v>422.7</v>
      </c>
    </row>
    <row r="164" spans="1:3" ht="14.4" x14ac:dyDescent="0.25">
      <c r="A164" s="21">
        <v>120</v>
      </c>
      <c r="B164" s="22">
        <v>5</v>
      </c>
      <c r="C164" s="21">
        <v>507.1</v>
      </c>
    </row>
    <row r="165" spans="1:3" ht="14.4" x14ac:dyDescent="0.25">
      <c r="A165" s="23">
        <v>140</v>
      </c>
      <c r="B165" s="24">
        <v>5</v>
      </c>
      <c r="C165" s="23">
        <v>592.1</v>
      </c>
    </row>
    <row r="166" spans="1:3" ht="14.4" x14ac:dyDescent="0.25">
      <c r="A166" s="21">
        <v>160</v>
      </c>
      <c r="B166" s="22">
        <v>5</v>
      </c>
      <c r="C166" s="21">
        <v>678</v>
      </c>
    </row>
    <row r="167" spans="1:3" ht="14.4" x14ac:dyDescent="0.25">
      <c r="A167" s="23">
        <v>180</v>
      </c>
      <c r="B167" s="24">
        <v>5</v>
      </c>
      <c r="C167" s="23">
        <v>765.2</v>
      </c>
    </row>
    <row r="168" spans="1:3" ht="14.4" x14ac:dyDescent="0.25">
      <c r="A168" s="21">
        <v>200</v>
      </c>
      <c r="B168" s="22">
        <v>5</v>
      </c>
      <c r="C168" s="21">
        <v>853.8</v>
      </c>
    </row>
    <row r="169" spans="1:3" ht="14.4" x14ac:dyDescent="0.25">
      <c r="A169" s="23">
        <v>220</v>
      </c>
      <c r="B169" s="24">
        <v>5</v>
      </c>
      <c r="C169" s="23">
        <v>944.4</v>
      </c>
    </row>
    <row r="170" spans="1:3" ht="14.4" x14ac:dyDescent="0.25">
      <c r="A170" s="21">
        <v>240</v>
      </c>
      <c r="B170" s="22">
        <v>5</v>
      </c>
      <c r="C170" s="21">
        <v>1037.8</v>
      </c>
    </row>
    <row r="171" spans="1:3" ht="14.4" x14ac:dyDescent="0.25">
      <c r="A171" s="23">
        <v>260</v>
      </c>
      <c r="B171" s="24">
        <v>5</v>
      </c>
      <c r="C171" s="23">
        <v>1135</v>
      </c>
    </row>
    <row r="172" spans="1:3" ht="14.4" x14ac:dyDescent="0.25">
      <c r="A172" s="21">
        <v>280</v>
      </c>
      <c r="B172" s="22">
        <v>5</v>
      </c>
      <c r="C172" s="21">
        <v>2857</v>
      </c>
    </row>
    <row r="173" spans="1:3" ht="14.4" x14ac:dyDescent="0.25">
      <c r="A173" s="23">
        <v>300</v>
      </c>
      <c r="B173" s="24">
        <v>5</v>
      </c>
      <c r="C173" s="23">
        <v>2925.4</v>
      </c>
    </row>
    <row r="174" spans="1:3" ht="14.4" x14ac:dyDescent="0.25">
      <c r="A174" s="21">
        <v>350</v>
      </c>
      <c r="B174" s="22">
        <v>5</v>
      </c>
      <c r="C174" s="21">
        <v>3069.2</v>
      </c>
    </row>
    <row r="175" spans="1:3" ht="14.4" x14ac:dyDescent="0.25">
      <c r="A175" s="23">
        <v>400</v>
      </c>
      <c r="B175" s="24">
        <v>5</v>
      </c>
      <c r="C175" s="23">
        <v>3196.9</v>
      </c>
    </row>
    <row r="176" spans="1:3" ht="14.4" x14ac:dyDescent="0.25">
      <c r="A176" s="21">
        <v>420</v>
      </c>
      <c r="B176" s="22">
        <v>5</v>
      </c>
      <c r="C176" s="21">
        <v>3245.4</v>
      </c>
    </row>
    <row r="177" spans="1:3" ht="14.4" x14ac:dyDescent="0.25">
      <c r="A177" s="23">
        <v>440</v>
      </c>
      <c r="B177" s="24">
        <v>5</v>
      </c>
      <c r="C177" s="23">
        <v>3293.2</v>
      </c>
    </row>
    <row r="178" spans="1:3" ht="14.4" x14ac:dyDescent="0.25">
      <c r="A178" s="21">
        <v>450</v>
      </c>
      <c r="B178" s="22">
        <v>5</v>
      </c>
      <c r="C178" s="21">
        <v>3316.8</v>
      </c>
    </row>
    <row r="179" spans="1:3" ht="14.4" x14ac:dyDescent="0.25">
      <c r="A179" s="23">
        <v>460</v>
      </c>
      <c r="B179" s="24">
        <v>5</v>
      </c>
      <c r="C179" s="23">
        <v>3340.4</v>
      </c>
    </row>
    <row r="180" spans="1:3" ht="14.4" x14ac:dyDescent="0.25">
      <c r="A180" s="21">
        <v>480</v>
      </c>
      <c r="B180" s="22">
        <v>5</v>
      </c>
      <c r="C180" s="21">
        <v>3387.2</v>
      </c>
    </row>
    <row r="181" spans="1:3" ht="14.4" x14ac:dyDescent="0.25">
      <c r="A181" s="23">
        <v>500</v>
      </c>
      <c r="B181" s="24">
        <v>5</v>
      </c>
      <c r="C181" s="23">
        <v>3433.8</v>
      </c>
    </row>
    <row r="182" spans="1:3" ht="14.4" x14ac:dyDescent="0.25">
      <c r="A182" s="21">
        <v>520</v>
      </c>
      <c r="B182" s="22">
        <v>5</v>
      </c>
      <c r="C182" s="21">
        <v>3480.12</v>
      </c>
    </row>
    <row r="183" spans="1:3" ht="14.4" x14ac:dyDescent="0.25">
      <c r="A183" s="23">
        <v>540</v>
      </c>
      <c r="B183" s="24">
        <v>5</v>
      </c>
      <c r="C183" s="23">
        <v>3526.44</v>
      </c>
    </row>
    <row r="184" spans="1:3" ht="14.4" x14ac:dyDescent="0.25">
      <c r="A184" s="21">
        <v>550</v>
      </c>
      <c r="B184" s="22">
        <v>5</v>
      </c>
      <c r="C184" s="21">
        <v>3549.6</v>
      </c>
    </row>
    <row r="185" spans="1:3" ht="14.4" x14ac:dyDescent="0.25">
      <c r="A185" s="23">
        <v>560</v>
      </c>
      <c r="B185" s="24">
        <v>5</v>
      </c>
      <c r="C185" s="23">
        <v>3572.76</v>
      </c>
    </row>
    <row r="186" spans="1:3" ht="14.4" x14ac:dyDescent="0.25">
      <c r="A186" s="21">
        <v>580</v>
      </c>
      <c r="B186" s="22">
        <v>5</v>
      </c>
      <c r="C186" s="21">
        <v>3619.08</v>
      </c>
    </row>
    <row r="187" spans="1:3" ht="14.4" x14ac:dyDescent="0.25">
      <c r="A187" s="23">
        <v>600</v>
      </c>
      <c r="B187" s="24">
        <v>5</v>
      </c>
      <c r="C187" s="23">
        <v>3665.4</v>
      </c>
    </row>
    <row r="188" spans="1:3" ht="14.4" x14ac:dyDescent="0.25">
      <c r="A188" s="21">
        <v>0</v>
      </c>
      <c r="B188" s="22">
        <v>7</v>
      </c>
      <c r="C188" s="21">
        <v>7.1</v>
      </c>
    </row>
    <row r="189" spans="1:3" ht="14.4" x14ac:dyDescent="0.25">
      <c r="A189" s="23">
        <v>10</v>
      </c>
      <c r="B189" s="24">
        <v>7</v>
      </c>
      <c r="C189" s="23">
        <v>48.8</v>
      </c>
    </row>
    <row r="190" spans="1:3" ht="14.4" x14ac:dyDescent="0.25">
      <c r="A190" s="21">
        <v>20</v>
      </c>
      <c r="B190" s="22">
        <v>7</v>
      </c>
      <c r="C190" s="21">
        <v>90.4</v>
      </c>
    </row>
    <row r="191" spans="1:3" ht="14.4" x14ac:dyDescent="0.25">
      <c r="A191" s="23">
        <v>40</v>
      </c>
      <c r="B191" s="24">
        <v>7</v>
      </c>
      <c r="C191" s="23">
        <v>173.6</v>
      </c>
    </row>
    <row r="192" spans="1:3" ht="14.4" x14ac:dyDescent="0.25">
      <c r="A192" s="21">
        <v>60</v>
      </c>
      <c r="B192" s="22">
        <v>7</v>
      </c>
      <c r="C192" s="21">
        <v>256.89999999999998</v>
      </c>
    </row>
    <row r="193" spans="1:3" ht="14.4" x14ac:dyDescent="0.25">
      <c r="A193" s="23">
        <v>80</v>
      </c>
      <c r="B193" s="24">
        <v>7</v>
      </c>
      <c r="C193" s="23">
        <v>340.4</v>
      </c>
    </row>
    <row r="194" spans="1:3" ht="14.4" x14ac:dyDescent="0.25">
      <c r="A194" s="21">
        <v>100</v>
      </c>
      <c r="B194" s="22">
        <v>7</v>
      </c>
      <c r="C194" s="21">
        <v>424.2</v>
      </c>
    </row>
    <row r="195" spans="1:3" ht="14.4" x14ac:dyDescent="0.25">
      <c r="A195" s="23">
        <v>120</v>
      </c>
      <c r="B195" s="24">
        <v>7</v>
      </c>
      <c r="C195" s="23">
        <v>508.5</v>
      </c>
    </row>
    <row r="196" spans="1:3" ht="14.4" x14ac:dyDescent="0.25">
      <c r="A196" s="21">
        <v>140</v>
      </c>
      <c r="B196" s="22">
        <v>7</v>
      </c>
      <c r="C196" s="21">
        <v>593.4</v>
      </c>
    </row>
    <row r="197" spans="1:3" ht="14.4" x14ac:dyDescent="0.25">
      <c r="A197" s="23">
        <v>160</v>
      </c>
      <c r="B197" s="24">
        <v>7</v>
      </c>
      <c r="C197" s="23">
        <v>679.2</v>
      </c>
    </row>
    <row r="198" spans="1:3" ht="14.4" x14ac:dyDescent="0.25">
      <c r="A198" s="21">
        <v>180</v>
      </c>
      <c r="B198" s="22">
        <v>7</v>
      </c>
      <c r="C198" s="21">
        <v>766.2</v>
      </c>
    </row>
    <row r="199" spans="1:3" ht="14.4" x14ac:dyDescent="0.25">
      <c r="A199" s="23">
        <v>200</v>
      </c>
      <c r="B199" s="24">
        <v>7</v>
      </c>
      <c r="C199" s="23">
        <v>854.6</v>
      </c>
    </row>
    <row r="200" spans="1:3" ht="14.4" x14ac:dyDescent="0.25">
      <c r="A200" s="21">
        <v>220</v>
      </c>
      <c r="B200" s="22">
        <v>7</v>
      </c>
      <c r="C200" s="21">
        <v>945</v>
      </c>
    </row>
    <row r="201" spans="1:3" ht="14.4" x14ac:dyDescent="0.25">
      <c r="A201" s="23">
        <v>240</v>
      </c>
      <c r="B201" s="24">
        <v>7</v>
      </c>
      <c r="C201" s="23">
        <v>1038</v>
      </c>
    </row>
    <row r="202" spans="1:3" ht="14.4" x14ac:dyDescent="0.25">
      <c r="A202" s="21">
        <v>260</v>
      </c>
      <c r="B202" s="22">
        <v>7</v>
      </c>
      <c r="C202" s="21">
        <v>1134.7</v>
      </c>
    </row>
    <row r="203" spans="1:3" ht="14.4" x14ac:dyDescent="0.25">
      <c r="A203" s="23">
        <v>280</v>
      </c>
      <c r="B203" s="24">
        <v>7</v>
      </c>
      <c r="C203" s="23">
        <v>1236.7</v>
      </c>
    </row>
    <row r="204" spans="1:3" ht="14.4" x14ac:dyDescent="0.25">
      <c r="A204" s="21">
        <v>300</v>
      </c>
      <c r="B204" s="22">
        <v>7</v>
      </c>
      <c r="C204" s="21">
        <v>2839.2</v>
      </c>
    </row>
    <row r="205" spans="1:3" ht="14.4" x14ac:dyDescent="0.25">
      <c r="A205" s="23">
        <v>350</v>
      </c>
      <c r="B205" s="24">
        <v>7</v>
      </c>
      <c r="C205" s="23">
        <v>3017</v>
      </c>
    </row>
    <row r="206" spans="1:3" ht="14.4" x14ac:dyDescent="0.25">
      <c r="A206" s="21">
        <v>400</v>
      </c>
      <c r="B206" s="22">
        <v>7</v>
      </c>
      <c r="C206" s="21">
        <v>3159.7</v>
      </c>
    </row>
    <row r="207" spans="1:3" ht="14.4" x14ac:dyDescent="0.25">
      <c r="A207" s="23">
        <v>420</v>
      </c>
      <c r="B207" s="24">
        <v>7</v>
      </c>
      <c r="C207" s="23">
        <v>3211</v>
      </c>
    </row>
    <row r="208" spans="1:3" ht="14.4" x14ac:dyDescent="0.25">
      <c r="A208" s="21">
        <v>440</v>
      </c>
      <c r="B208" s="22">
        <v>7</v>
      </c>
      <c r="C208" s="21">
        <v>3262.3</v>
      </c>
    </row>
    <row r="209" spans="1:3" ht="14.4" x14ac:dyDescent="0.25">
      <c r="A209" s="23">
        <v>450</v>
      </c>
      <c r="B209" s="24">
        <v>7</v>
      </c>
      <c r="C209" s="23">
        <v>3288</v>
      </c>
    </row>
    <row r="210" spans="1:3" ht="14.4" x14ac:dyDescent="0.25">
      <c r="A210" s="21">
        <v>460</v>
      </c>
      <c r="B210" s="22">
        <v>7</v>
      </c>
      <c r="C210" s="21">
        <v>3312.4</v>
      </c>
    </row>
    <row r="211" spans="1:3" ht="14.4" x14ac:dyDescent="0.25">
      <c r="A211" s="23">
        <v>480</v>
      </c>
      <c r="B211" s="24">
        <v>7</v>
      </c>
      <c r="C211" s="23">
        <v>3361.3</v>
      </c>
    </row>
    <row r="212" spans="1:3" ht="14.4" x14ac:dyDescent="0.25">
      <c r="A212" s="21">
        <v>500</v>
      </c>
      <c r="B212" s="22">
        <v>7</v>
      </c>
      <c r="C212" s="21">
        <v>3410.2</v>
      </c>
    </row>
    <row r="213" spans="1:3" ht="14.4" x14ac:dyDescent="0.25">
      <c r="A213" s="23">
        <v>520</v>
      </c>
      <c r="B213" s="24">
        <v>7</v>
      </c>
      <c r="C213" s="23">
        <v>3458.6</v>
      </c>
    </row>
    <row r="214" spans="1:3" ht="14.4" x14ac:dyDescent="0.25">
      <c r="A214" s="21">
        <v>540</v>
      </c>
      <c r="B214" s="22">
        <v>7</v>
      </c>
      <c r="C214" s="21">
        <v>3506.4</v>
      </c>
    </row>
    <row r="215" spans="1:3" ht="14.4" x14ac:dyDescent="0.25">
      <c r="A215" s="23">
        <v>550</v>
      </c>
      <c r="B215" s="24">
        <v>7</v>
      </c>
      <c r="C215" s="23">
        <v>3530.2</v>
      </c>
    </row>
    <row r="216" spans="1:3" ht="14.4" x14ac:dyDescent="0.25">
      <c r="A216" s="21">
        <v>560</v>
      </c>
      <c r="B216" s="22">
        <v>7</v>
      </c>
      <c r="C216" s="21">
        <v>3554.1</v>
      </c>
    </row>
    <row r="217" spans="1:3" ht="14.4" x14ac:dyDescent="0.25">
      <c r="A217" s="23">
        <v>580</v>
      </c>
      <c r="B217" s="24">
        <v>7</v>
      </c>
      <c r="C217" s="23">
        <v>3601.6</v>
      </c>
    </row>
    <row r="218" spans="1:3" ht="14.4" x14ac:dyDescent="0.25">
      <c r="A218" s="21">
        <v>600</v>
      </c>
      <c r="B218" s="22">
        <v>7</v>
      </c>
      <c r="C218" s="21">
        <v>3649</v>
      </c>
    </row>
    <row r="219" spans="1:3" ht="14.4" x14ac:dyDescent="0.25">
      <c r="A219" s="23">
        <v>0</v>
      </c>
      <c r="B219" s="24">
        <v>10</v>
      </c>
      <c r="C219" s="23">
        <v>10.1</v>
      </c>
    </row>
    <row r="220" spans="1:3" ht="14.4" x14ac:dyDescent="0.25">
      <c r="A220" s="21">
        <v>10</v>
      </c>
      <c r="B220" s="22">
        <v>10</v>
      </c>
      <c r="C220" s="21">
        <v>51.7</v>
      </c>
    </row>
    <row r="221" spans="1:3" ht="14.4" x14ac:dyDescent="0.25">
      <c r="A221" s="23">
        <v>20</v>
      </c>
      <c r="B221" s="24">
        <v>10</v>
      </c>
      <c r="C221" s="23">
        <v>93.2</v>
      </c>
    </row>
    <row r="222" spans="1:3" ht="14.4" x14ac:dyDescent="0.25">
      <c r="A222" s="21">
        <v>40</v>
      </c>
      <c r="B222" s="22">
        <v>10</v>
      </c>
      <c r="C222" s="21">
        <v>176.3</v>
      </c>
    </row>
    <row r="223" spans="1:3" ht="14.4" x14ac:dyDescent="0.25">
      <c r="A223" s="23">
        <v>60</v>
      </c>
      <c r="B223" s="24">
        <v>10</v>
      </c>
      <c r="C223" s="23">
        <v>259.39999999999998</v>
      </c>
    </row>
    <row r="224" spans="1:3" ht="14.4" x14ac:dyDescent="0.25">
      <c r="A224" s="21">
        <v>80</v>
      </c>
      <c r="B224" s="22">
        <v>10</v>
      </c>
      <c r="C224" s="21">
        <v>342.8</v>
      </c>
    </row>
    <row r="225" spans="1:3" ht="14.4" x14ac:dyDescent="0.25">
      <c r="A225" s="23">
        <v>100</v>
      </c>
      <c r="B225" s="24">
        <v>10</v>
      </c>
      <c r="C225" s="23">
        <v>426.5</v>
      </c>
    </row>
    <row r="226" spans="1:3" ht="14.4" x14ac:dyDescent="0.25">
      <c r="A226" s="21">
        <v>120</v>
      </c>
      <c r="B226" s="22">
        <v>10</v>
      </c>
      <c r="C226" s="21">
        <v>510.6</v>
      </c>
    </row>
    <row r="227" spans="1:3" ht="14.4" x14ac:dyDescent="0.25">
      <c r="A227" s="23">
        <v>140</v>
      </c>
      <c r="B227" s="24">
        <v>10</v>
      </c>
      <c r="C227" s="23">
        <v>595.4</v>
      </c>
    </row>
    <row r="228" spans="1:3" ht="14.4" x14ac:dyDescent="0.25">
      <c r="A228" s="21">
        <v>160</v>
      </c>
      <c r="B228" s="22">
        <v>10</v>
      </c>
      <c r="C228" s="21">
        <v>681</v>
      </c>
    </row>
    <row r="229" spans="1:3" ht="14.4" x14ac:dyDescent="0.25">
      <c r="A229" s="23">
        <v>180</v>
      </c>
      <c r="B229" s="24">
        <v>10</v>
      </c>
      <c r="C229" s="23">
        <v>767.8</v>
      </c>
    </row>
    <row r="230" spans="1:3" ht="14.4" x14ac:dyDescent="0.25">
      <c r="A230" s="21">
        <v>200</v>
      </c>
      <c r="B230" s="22">
        <v>10</v>
      </c>
      <c r="C230" s="21">
        <v>855.9</v>
      </c>
    </row>
    <row r="231" spans="1:3" ht="14.4" x14ac:dyDescent="0.25">
      <c r="A231" s="23">
        <v>220</v>
      </c>
      <c r="B231" s="24">
        <v>10</v>
      </c>
      <c r="C231" s="23">
        <v>946</v>
      </c>
    </row>
    <row r="232" spans="1:3" ht="14.4" x14ac:dyDescent="0.25">
      <c r="A232" s="21">
        <v>240</v>
      </c>
      <c r="B232" s="22">
        <v>10</v>
      </c>
      <c r="C232" s="21">
        <v>1038.4000000000001</v>
      </c>
    </row>
    <row r="233" spans="1:3" ht="14.4" x14ac:dyDescent="0.25">
      <c r="A233" s="23">
        <v>260</v>
      </c>
      <c r="B233" s="24">
        <v>10</v>
      </c>
      <c r="C233" s="23">
        <v>1134.3</v>
      </c>
    </row>
    <row r="234" spans="1:3" ht="14.4" x14ac:dyDescent="0.25">
      <c r="A234" s="21">
        <v>280</v>
      </c>
      <c r="B234" s="22">
        <v>10</v>
      </c>
      <c r="C234" s="21">
        <v>1235.2</v>
      </c>
    </row>
    <row r="235" spans="1:3" ht="14.4" x14ac:dyDescent="0.25">
      <c r="A235" s="23">
        <v>300</v>
      </c>
      <c r="B235" s="24">
        <v>10</v>
      </c>
      <c r="C235" s="23">
        <v>1343.7</v>
      </c>
    </row>
    <row r="236" spans="1:3" ht="14.4" x14ac:dyDescent="0.25">
      <c r="A236" s="21">
        <v>350</v>
      </c>
      <c r="B236" s="22">
        <v>10</v>
      </c>
      <c r="C236" s="21">
        <v>2924.2</v>
      </c>
    </row>
    <row r="237" spans="1:3" ht="14.4" x14ac:dyDescent="0.25">
      <c r="A237" s="23">
        <v>400</v>
      </c>
      <c r="B237" s="24">
        <v>10</v>
      </c>
      <c r="C237" s="23">
        <v>3098.5</v>
      </c>
    </row>
    <row r="238" spans="1:3" ht="14.4" x14ac:dyDescent="0.25">
      <c r="A238" s="21">
        <v>420</v>
      </c>
      <c r="B238" s="22">
        <v>10</v>
      </c>
      <c r="C238" s="21">
        <v>3155.98</v>
      </c>
    </row>
    <row r="239" spans="1:3" ht="14.4" x14ac:dyDescent="0.25">
      <c r="A239" s="23">
        <v>440</v>
      </c>
      <c r="B239" s="24">
        <v>10</v>
      </c>
      <c r="C239" s="23">
        <v>3213.46</v>
      </c>
    </row>
    <row r="240" spans="1:3" ht="14.4" x14ac:dyDescent="0.25">
      <c r="A240" s="21">
        <v>450</v>
      </c>
      <c r="B240" s="22">
        <v>10</v>
      </c>
      <c r="C240" s="21">
        <v>3242.2</v>
      </c>
    </row>
    <row r="241" spans="1:3" ht="14.4" x14ac:dyDescent="0.25">
      <c r="A241" s="23">
        <v>460</v>
      </c>
      <c r="B241" s="24">
        <v>10</v>
      </c>
      <c r="C241" s="23">
        <v>3268.58</v>
      </c>
    </row>
    <row r="242" spans="1:3" ht="14.4" x14ac:dyDescent="0.25">
      <c r="A242" s="21">
        <v>480</v>
      </c>
      <c r="B242" s="22">
        <v>10</v>
      </c>
      <c r="C242" s="21">
        <v>3321.34</v>
      </c>
    </row>
    <row r="243" spans="1:3" ht="14.4" x14ac:dyDescent="0.25">
      <c r="A243" s="23">
        <v>500</v>
      </c>
      <c r="B243" s="24">
        <v>10</v>
      </c>
      <c r="C243" s="23">
        <v>3374.1</v>
      </c>
    </row>
    <row r="244" spans="1:3" ht="14.4" x14ac:dyDescent="0.25">
      <c r="A244" s="21">
        <v>520</v>
      </c>
      <c r="B244" s="22">
        <v>10</v>
      </c>
      <c r="C244" s="21">
        <v>3425.1</v>
      </c>
    </row>
    <row r="245" spans="1:3" ht="14.4" x14ac:dyDescent="0.25">
      <c r="A245" s="23">
        <v>540</v>
      </c>
      <c r="B245" s="24">
        <v>10</v>
      </c>
      <c r="C245" s="23">
        <v>3475.4</v>
      </c>
    </row>
    <row r="246" spans="1:3" ht="14.4" x14ac:dyDescent="0.25">
      <c r="A246" s="21">
        <v>550</v>
      </c>
      <c r="B246" s="22">
        <v>10</v>
      </c>
      <c r="C246" s="21">
        <v>3500.4</v>
      </c>
    </row>
    <row r="247" spans="1:3" ht="14.4" x14ac:dyDescent="0.25">
      <c r="A247" s="23">
        <v>560</v>
      </c>
      <c r="B247" s="24">
        <v>10</v>
      </c>
      <c r="C247" s="23">
        <v>3525.4</v>
      </c>
    </row>
    <row r="248" spans="1:3" ht="14.4" x14ac:dyDescent="0.25">
      <c r="A248" s="21">
        <v>580</v>
      </c>
      <c r="B248" s="22">
        <v>10</v>
      </c>
      <c r="C248" s="21">
        <v>3574.9</v>
      </c>
    </row>
    <row r="249" spans="1:3" ht="14.4" x14ac:dyDescent="0.25">
      <c r="A249" s="23">
        <v>600</v>
      </c>
      <c r="B249" s="24">
        <v>10</v>
      </c>
      <c r="C249" s="23">
        <v>3624</v>
      </c>
    </row>
    <row r="250" spans="1:3" ht="14.4" x14ac:dyDescent="0.25">
      <c r="A250" s="21">
        <v>0</v>
      </c>
      <c r="B250" s="22">
        <v>14</v>
      </c>
      <c r="C250" s="21">
        <v>14.1</v>
      </c>
    </row>
    <row r="251" spans="1:3" ht="14.4" x14ac:dyDescent="0.25">
      <c r="A251" s="23">
        <v>10</v>
      </c>
      <c r="B251" s="24">
        <v>14</v>
      </c>
      <c r="C251" s="23">
        <v>55.6</v>
      </c>
    </row>
    <row r="252" spans="1:3" ht="14.4" x14ac:dyDescent="0.25">
      <c r="A252" s="21">
        <v>20</v>
      </c>
      <c r="B252" s="22">
        <v>14</v>
      </c>
      <c r="C252" s="21">
        <v>97</v>
      </c>
    </row>
    <row r="253" spans="1:3" ht="14.4" x14ac:dyDescent="0.25">
      <c r="A253" s="23">
        <v>40</v>
      </c>
      <c r="B253" s="24">
        <v>14</v>
      </c>
      <c r="C253" s="23">
        <v>179.8</v>
      </c>
    </row>
    <row r="254" spans="1:3" ht="14.4" x14ac:dyDescent="0.25">
      <c r="A254" s="21">
        <v>60</v>
      </c>
      <c r="B254" s="22">
        <v>14</v>
      </c>
      <c r="C254" s="21">
        <v>262.8</v>
      </c>
    </row>
    <row r="255" spans="1:3" ht="14.4" x14ac:dyDescent="0.25">
      <c r="A255" s="23">
        <v>80</v>
      </c>
      <c r="B255" s="24">
        <v>14</v>
      </c>
      <c r="C255" s="23">
        <v>346</v>
      </c>
    </row>
    <row r="256" spans="1:3" ht="14.4" x14ac:dyDescent="0.25">
      <c r="A256" s="21">
        <v>100</v>
      </c>
      <c r="B256" s="22">
        <v>14</v>
      </c>
      <c r="C256" s="21">
        <v>429.5</v>
      </c>
    </row>
    <row r="257" spans="1:3" ht="14.4" x14ac:dyDescent="0.25">
      <c r="A257" s="23">
        <v>120</v>
      </c>
      <c r="B257" s="24">
        <v>14</v>
      </c>
      <c r="C257" s="23">
        <v>513.5</v>
      </c>
    </row>
    <row r="258" spans="1:3" ht="14.4" x14ac:dyDescent="0.25">
      <c r="A258" s="21">
        <v>140</v>
      </c>
      <c r="B258" s="22">
        <v>14</v>
      </c>
      <c r="C258" s="21">
        <v>598</v>
      </c>
    </row>
    <row r="259" spans="1:3" ht="14.4" x14ac:dyDescent="0.25">
      <c r="A259" s="23">
        <v>160</v>
      </c>
      <c r="B259" s="24">
        <v>14</v>
      </c>
      <c r="C259" s="23">
        <v>683.4</v>
      </c>
    </row>
    <row r="260" spans="1:3" ht="14.4" x14ac:dyDescent="0.25">
      <c r="A260" s="21">
        <v>180</v>
      </c>
      <c r="B260" s="22">
        <v>14</v>
      </c>
      <c r="C260" s="21">
        <v>769.9</v>
      </c>
    </row>
    <row r="261" spans="1:3" ht="14.4" x14ac:dyDescent="0.25">
      <c r="A261" s="23">
        <v>200</v>
      </c>
      <c r="B261" s="24">
        <v>14</v>
      </c>
      <c r="C261" s="23">
        <v>857.7</v>
      </c>
    </row>
    <row r="262" spans="1:3" ht="14.4" x14ac:dyDescent="0.25">
      <c r="A262" s="21">
        <v>220</v>
      </c>
      <c r="B262" s="22">
        <v>14</v>
      </c>
      <c r="C262" s="21">
        <v>947.2</v>
      </c>
    </row>
    <row r="263" spans="1:3" ht="14.4" x14ac:dyDescent="0.25">
      <c r="A263" s="23">
        <v>240</v>
      </c>
      <c r="B263" s="24">
        <v>14</v>
      </c>
      <c r="C263" s="23">
        <v>1039.0999999999999</v>
      </c>
    </row>
    <row r="264" spans="1:3" ht="14.4" x14ac:dyDescent="0.25">
      <c r="A264" s="21">
        <v>260</v>
      </c>
      <c r="B264" s="22">
        <v>14</v>
      </c>
      <c r="C264" s="21">
        <v>1134.0999999999999</v>
      </c>
    </row>
    <row r="265" spans="1:3" ht="14.4" x14ac:dyDescent="0.25">
      <c r="A265" s="23">
        <v>280</v>
      </c>
      <c r="B265" s="24">
        <v>14</v>
      </c>
      <c r="C265" s="23">
        <v>1233.5</v>
      </c>
    </row>
    <row r="266" spans="1:3" ht="14.4" x14ac:dyDescent="0.25">
      <c r="A266" s="21">
        <v>300</v>
      </c>
      <c r="B266" s="22">
        <v>14</v>
      </c>
      <c r="C266" s="21">
        <v>1339.5</v>
      </c>
    </row>
    <row r="267" spans="1:3" ht="14.4" x14ac:dyDescent="0.25">
      <c r="A267" s="23">
        <v>350</v>
      </c>
      <c r="B267" s="24">
        <v>14</v>
      </c>
      <c r="C267" s="23">
        <v>2753.5</v>
      </c>
    </row>
    <row r="268" spans="1:3" ht="14.4" x14ac:dyDescent="0.25">
      <c r="A268" s="21">
        <v>400</v>
      </c>
      <c r="B268" s="22">
        <v>14</v>
      </c>
      <c r="C268" s="21">
        <v>3004</v>
      </c>
    </row>
    <row r="269" spans="1:3" ht="14.4" x14ac:dyDescent="0.25">
      <c r="A269" s="23">
        <v>420</v>
      </c>
      <c r="B269" s="24">
        <v>14</v>
      </c>
      <c r="C269" s="23">
        <v>3072.72</v>
      </c>
    </row>
    <row r="270" spans="1:3" ht="14.4" x14ac:dyDescent="0.25">
      <c r="A270" s="21">
        <v>440</v>
      </c>
      <c r="B270" s="22">
        <v>14</v>
      </c>
      <c r="C270" s="21">
        <v>3141.44</v>
      </c>
    </row>
    <row r="271" spans="1:3" ht="14.4" x14ac:dyDescent="0.25">
      <c r="A271" s="23">
        <v>450</v>
      </c>
      <c r="B271" s="24">
        <v>14</v>
      </c>
      <c r="C271" s="23">
        <v>3175.8</v>
      </c>
    </row>
    <row r="272" spans="1:3" ht="14.4" x14ac:dyDescent="0.25">
      <c r="A272" s="21">
        <v>460</v>
      </c>
      <c r="B272" s="22">
        <v>14</v>
      </c>
      <c r="C272" s="21">
        <v>3205.24</v>
      </c>
    </row>
    <row r="273" spans="1:3" ht="14.4" x14ac:dyDescent="0.25">
      <c r="A273" s="23">
        <v>480</v>
      </c>
      <c r="B273" s="24">
        <v>14</v>
      </c>
      <c r="C273" s="23">
        <v>3264.12</v>
      </c>
    </row>
    <row r="274" spans="1:3" ht="14.4" x14ac:dyDescent="0.25">
      <c r="A274" s="21">
        <v>500</v>
      </c>
      <c r="B274" s="22">
        <v>14</v>
      </c>
      <c r="C274" s="21">
        <v>3323</v>
      </c>
    </row>
    <row r="275" spans="1:3" ht="14.4" x14ac:dyDescent="0.25">
      <c r="A275" s="23">
        <v>520</v>
      </c>
      <c r="B275" s="24">
        <v>14</v>
      </c>
      <c r="C275" s="23">
        <v>3378.4</v>
      </c>
    </row>
    <row r="276" spans="1:3" ht="14.4" x14ac:dyDescent="0.25">
      <c r="A276" s="21">
        <v>540</v>
      </c>
      <c r="B276" s="22">
        <v>14</v>
      </c>
      <c r="C276" s="21">
        <v>3432.5</v>
      </c>
    </row>
    <row r="277" spans="1:3" ht="14.4" x14ac:dyDescent="0.25">
      <c r="A277" s="23">
        <v>550</v>
      </c>
      <c r="B277" s="24">
        <v>14</v>
      </c>
      <c r="C277" s="23">
        <v>3459.2</v>
      </c>
    </row>
    <row r="278" spans="1:3" ht="14.4" x14ac:dyDescent="0.25">
      <c r="A278" s="21">
        <v>560</v>
      </c>
      <c r="B278" s="22">
        <v>14</v>
      </c>
      <c r="C278" s="21">
        <v>3485.8</v>
      </c>
    </row>
    <row r="279" spans="1:3" ht="14.4" x14ac:dyDescent="0.25">
      <c r="A279" s="23">
        <v>580</v>
      </c>
      <c r="B279" s="24">
        <v>14</v>
      </c>
      <c r="C279" s="23">
        <v>3538.2</v>
      </c>
    </row>
    <row r="280" spans="1:3" ht="14.4" x14ac:dyDescent="0.25">
      <c r="A280" s="21">
        <v>600</v>
      </c>
      <c r="B280" s="22">
        <v>14</v>
      </c>
      <c r="C280" s="21">
        <v>3589.8</v>
      </c>
    </row>
    <row r="281" spans="1:3" ht="14.4" x14ac:dyDescent="0.25">
      <c r="A281" s="23">
        <v>0</v>
      </c>
      <c r="B281" s="24">
        <v>20</v>
      </c>
      <c r="C281" s="23">
        <v>20.100000000000001</v>
      </c>
    </row>
    <row r="282" spans="1:3" ht="14.4" x14ac:dyDescent="0.25">
      <c r="A282" s="21">
        <v>10</v>
      </c>
      <c r="B282" s="22">
        <v>20</v>
      </c>
      <c r="C282" s="21">
        <v>61.3</v>
      </c>
    </row>
    <row r="283" spans="1:3" ht="14.4" x14ac:dyDescent="0.25">
      <c r="A283" s="23">
        <v>20</v>
      </c>
      <c r="B283" s="24">
        <v>20</v>
      </c>
      <c r="C283" s="23">
        <v>102.5</v>
      </c>
    </row>
    <row r="284" spans="1:3" ht="14.4" x14ac:dyDescent="0.25">
      <c r="A284" s="21">
        <v>40</v>
      </c>
      <c r="B284" s="22">
        <v>20</v>
      </c>
      <c r="C284" s="21">
        <v>185.1</v>
      </c>
    </row>
    <row r="285" spans="1:3" ht="14.4" x14ac:dyDescent="0.25">
      <c r="A285" s="23">
        <v>60</v>
      </c>
      <c r="B285" s="24">
        <v>20</v>
      </c>
      <c r="C285" s="23">
        <v>267.8</v>
      </c>
    </row>
    <row r="286" spans="1:3" ht="14.4" x14ac:dyDescent="0.25">
      <c r="A286" s="21">
        <v>80</v>
      </c>
      <c r="B286" s="22">
        <v>20</v>
      </c>
      <c r="C286" s="21">
        <v>350.8</v>
      </c>
    </row>
    <row r="287" spans="1:3" ht="14.4" x14ac:dyDescent="0.25">
      <c r="A287" s="23">
        <v>100</v>
      </c>
      <c r="B287" s="24">
        <v>20</v>
      </c>
      <c r="C287" s="23">
        <v>434</v>
      </c>
    </row>
    <row r="288" spans="1:3" ht="14.4" x14ac:dyDescent="0.25">
      <c r="A288" s="21">
        <v>120</v>
      </c>
      <c r="B288" s="22">
        <v>20</v>
      </c>
      <c r="C288" s="21">
        <v>517.70000000000005</v>
      </c>
    </row>
    <row r="289" spans="1:3" ht="14.4" x14ac:dyDescent="0.25">
      <c r="A289" s="23">
        <v>140</v>
      </c>
      <c r="B289" s="24">
        <v>20</v>
      </c>
      <c r="C289" s="23">
        <v>602</v>
      </c>
    </row>
    <row r="290" spans="1:3" ht="14.4" x14ac:dyDescent="0.25">
      <c r="A290" s="21">
        <v>160</v>
      </c>
      <c r="B290" s="22">
        <v>20</v>
      </c>
      <c r="C290" s="21">
        <v>687.1</v>
      </c>
    </row>
    <row r="291" spans="1:3" ht="14.4" x14ac:dyDescent="0.25">
      <c r="A291" s="23">
        <v>180</v>
      </c>
      <c r="B291" s="24">
        <v>20</v>
      </c>
      <c r="C291" s="23">
        <v>773.1</v>
      </c>
    </row>
    <row r="292" spans="1:3" ht="14.4" x14ac:dyDescent="0.25">
      <c r="A292" s="21">
        <v>200</v>
      </c>
      <c r="B292" s="22">
        <v>20</v>
      </c>
      <c r="C292" s="21">
        <v>860.4</v>
      </c>
    </row>
    <row r="293" spans="1:3" ht="14.4" x14ac:dyDescent="0.25">
      <c r="A293" s="23">
        <v>220</v>
      </c>
      <c r="B293" s="24">
        <v>20</v>
      </c>
      <c r="C293" s="23">
        <v>949.3</v>
      </c>
    </row>
    <row r="294" spans="1:3" ht="14.4" x14ac:dyDescent="0.25">
      <c r="A294" s="21">
        <v>240</v>
      </c>
      <c r="B294" s="22">
        <v>20</v>
      </c>
      <c r="C294" s="21">
        <v>1040.3</v>
      </c>
    </row>
    <row r="295" spans="1:3" ht="14.4" x14ac:dyDescent="0.25">
      <c r="A295" s="23">
        <v>260</v>
      </c>
      <c r="B295" s="24">
        <v>20</v>
      </c>
      <c r="C295" s="23">
        <v>1134</v>
      </c>
    </row>
    <row r="296" spans="1:3" ht="14.4" x14ac:dyDescent="0.25">
      <c r="A296" s="21">
        <v>280</v>
      </c>
      <c r="B296" s="22">
        <v>20</v>
      </c>
      <c r="C296" s="21">
        <v>1231.5999999999999</v>
      </c>
    </row>
    <row r="297" spans="1:3" ht="14.4" x14ac:dyDescent="0.25">
      <c r="A297" s="23">
        <v>300</v>
      </c>
      <c r="B297" s="24">
        <v>20</v>
      </c>
      <c r="C297" s="23">
        <v>1334.6</v>
      </c>
    </row>
    <row r="298" spans="1:3" ht="14.4" x14ac:dyDescent="0.25">
      <c r="A298" s="21">
        <v>350</v>
      </c>
      <c r="B298" s="22">
        <v>20</v>
      </c>
      <c r="C298" s="21">
        <v>1648.4</v>
      </c>
    </row>
    <row r="299" spans="1:3" ht="14.4" x14ac:dyDescent="0.25">
      <c r="A299" s="23">
        <v>400</v>
      </c>
      <c r="B299" s="24">
        <v>20</v>
      </c>
      <c r="C299" s="23">
        <v>2820.1</v>
      </c>
    </row>
    <row r="300" spans="1:3" ht="14.4" x14ac:dyDescent="0.25">
      <c r="A300" s="21">
        <v>420</v>
      </c>
      <c r="B300" s="22">
        <v>20</v>
      </c>
      <c r="C300" s="21">
        <v>2917.02</v>
      </c>
    </row>
    <row r="301" spans="1:3" ht="14.4" x14ac:dyDescent="0.25">
      <c r="A301" s="23">
        <v>440</v>
      </c>
      <c r="B301" s="24">
        <v>20</v>
      </c>
      <c r="C301" s="23">
        <v>3013.94</v>
      </c>
    </row>
    <row r="302" spans="1:3" ht="14.4" x14ac:dyDescent="0.25">
      <c r="A302" s="21">
        <v>450</v>
      </c>
      <c r="B302" s="22">
        <v>20</v>
      </c>
      <c r="C302" s="21">
        <v>3062.4</v>
      </c>
    </row>
    <row r="303" spans="1:3" ht="14.4" x14ac:dyDescent="0.25">
      <c r="A303" s="23">
        <v>460</v>
      </c>
      <c r="B303" s="24">
        <v>20</v>
      </c>
      <c r="C303" s="23">
        <v>3097.96</v>
      </c>
    </row>
    <row r="304" spans="1:3" ht="14.4" x14ac:dyDescent="0.25">
      <c r="A304" s="21">
        <v>480</v>
      </c>
      <c r="B304" s="22">
        <v>20</v>
      </c>
      <c r="C304" s="21">
        <v>3169.08</v>
      </c>
    </row>
    <row r="305" spans="1:3" ht="14.4" x14ac:dyDescent="0.25">
      <c r="A305" s="23">
        <v>500</v>
      </c>
      <c r="B305" s="24">
        <v>20</v>
      </c>
      <c r="C305" s="23">
        <v>3240.2</v>
      </c>
    </row>
    <row r="306" spans="1:3" ht="14.4" x14ac:dyDescent="0.25">
      <c r="A306" s="21">
        <v>520</v>
      </c>
      <c r="B306" s="22">
        <v>20</v>
      </c>
      <c r="C306" s="21">
        <v>3303.7</v>
      </c>
    </row>
    <row r="307" spans="1:3" ht="14.4" x14ac:dyDescent="0.25">
      <c r="A307" s="23">
        <v>540</v>
      </c>
      <c r="B307" s="24">
        <v>20</v>
      </c>
      <c r="C307" s="23">
        <v>3364.6</v>
      </c>
    </row>
    <row r="308" spans="1:3" ht="14.4" x14ac:dyDescent="0.25">
      <c r="A308" s="21">
        <v>550</v>
      </c>
      <c r="B308" s="22">
        <v>20</v>
      </c>
      <c r="C308" s="21">
        <v>3394.3</v>
      </c>
    </row>
    <row r="309" spans="1:3" ht="14.4" x14ac:dyDescent="0.25">
      <c r="A309" s="23">
        <v>560</v>
      </c>
      <c r="B309" s="24">
        <v>20</v>
      </c>
      <c r="C309" s="23">
        <v>3423.6</v>
      </c>
    </row>
    <row r="310" spans="1:3" ht="14.4" x14ac:dyDescent="0.25">
      <c r="A310" s="21">
        <v>580</v>
      </c>
      <c r="B310" s="22">
        <v>20</v>
      </c>
      <c r="C310" s="21">
        <v>3480.9</v>
      </c>
    </row>
    <row r="311" spans="1:3" ht="14.4" x14ac:dyDescent="0.25">
      <c r="A311" s="23">
        <v>600</v>
      </c>
      <c r="B311" s="24">
        <v>20</v>
      </c>
      <c r="C311" s="23">
        <v>3536.9</v>
      </c>
    </row>
    <row r="312" spans="1:3" ht="14.4" x14ac:dyDescent="0.25">
      <c r="A312" s="21">
        <v>0</v>
      </c>
      <c r="B312" s="22">
        <v>25</v>
      </c>
      <c r="C312" s="21">
        <v>25.1</v>
      </c>
    </row>
    <row r="313" spans="1:3" ht="14.4" x14ac:dyDescent="0.25">
      <c r="A313" s="23">
        <v>10</v>
      </c>
      <c r="B313" s="24">
        <v>25</v>
      </c>
      <c r="C313" s="23">
        <v>66.099999999999994</v>
      </c>
    </row>
    <row r="314" spans="1:3" ht="14.4" x14ac:dyDescent="0.25">
      <c r="A314" s="21">
        <v>20</v>
      </c>
      <c r="B314" s="22">
        <v>25</v>
      </c>
      <c r="C314" s="21">
        <v>107.1</v>
      </c>
    </row>
    <row r="315" spans="1:3" ht="14.4" x14ac:dyDescent="0.25">
      <c r="A315" s="23">
        <v>40</v>
      </c>
      <c r="B315" s="24">
        <v>25</v>
      </c>
      <c r="C315" s="23">
        <v>189.4</v>
      </c>
    </row>
    <row r="316" spans="1:3" ht="14.4" x14ac:dyDescent="0.25">
      <c r="A316" s="21">
        <v>60</v>
      </c>
      <c r="B316" s="22">
        <v>25</v>
      </c>
      <c r="C316" s="21">
        <v>272</v>
      </c>
    </row>
    <row r="317" spans="1:3" ht="14.4" x14ac:dyDescent="0.25">
      <c r="A317" s="23">
        <v>80</v>
      </c>
      <c r="B317" s="24">
        <v>25</v>
      </c>
      <c r="C317" s="23">
        <v>354.8</v>
      </c>
    </row>
    <row r="318" spans="1:3" ht="14.4" x14ac:dyDescent="0.25">
      <c r="A318" s="21">
        <v>100</v>
      </c>
      <c r="B318" s="22">
        <v>25</v>
      </c>
      <c r="C318" s="21">
        <v>437.8</v>
      </c>
    </row>
    <row r="319" spans="1:3" ht="14.4" x14ac:dyDescent="0.25">
      <c r="A319" s="23">
        <v>120</v>
      </c>
      <c r="B319" s="24">
        <v>25</v>
      </c>
      <c r="C319" s="23">
        <v>521.29999999999995</v>
      </c>
    </row>
    <row r="320" spans="1:3" ht="14.4" x14ac:dyDescent="0.25">
      <c r="A320" s="21">
        <v>140</v>
      </c>
      <c r="B320" s="22">
        <v>25</v>
      </c>
      <c r="C320" s="21">
        <v>605.4</v>
      </c>
    </row>
    <row r="321" spans="1:3" ht="14.4" x14ac:dyDescent="0.25">
      <c r="A321" s="23">
        <v>160</v>
      </c>
      <c r="B321" s="24">
        <v>25</v>
      </c>
      <c r="C321" s="23">
        <v>690.2</v>
      </c>
    </row>
    <row r="322" spans="1:3" ht="14.4" x14ac:dyDescent="0.25">
      <c r="A322" s="21">
        <v>180</v>
      </c>
      <c r="B322" s="22">
        <v>25</v>
      </c>
      <c r="C322" s="21">
        <v>775.9</v>
      </c>
    </row>
    <row r="323" spans="1:3" ht="14.4" x14ac:dyDescent="0.25">
      <c r="A323" s="23">
        <v>200</v>
      </c>
      <c r="B323" s="24">
        <v>25</v>
      </c>
      <c r="C323" s="23">
        <v>862.8</v>
      </c>
    </row>
    <row r="324" spans="1:3" ht="14.4" x14ac:dyDescent="0.25">
      <c r="A324" s="21">
        <v>220</v>
      </c>
      <c r="B324" s="22">
        <v>25</v>
      </c>
      <c r="C324" s="21">
        <v>951.2</v>
      </c>
    </row>
    <row r="325" spans="1:3" ht="14.4" x14ac:dyDescent="0.25">
      <c r="A325" s="23">
        <v>240</v>
      </c>
      <c r="B325" s="24">
        <v>25</v>
      </c>
      <c r="C325" s="23">
        <v>1041.5</v>
      </c>
    </row>
    <row r="326" spans="1:3" ht="14.4" x14ac:dyDescent="0.25">
      <c r="A326" s="21">
        <v>260</v>
      </c>
      <c r="B326" s="22">
        <v>25</v>
      </c>
      <c r="C326" s="21">
        <v>1134.3</v>
      </c>
    </row>
    <row r="327" spans="1:3" ht="14.4" x14ac:dyDescent="0.25">
      <c r="A327" s="23">
        <v>280</v>
      </c>
      <c r="B327" s="24">
        <v>25</v>
      </c>
      <c r="C327" s="23">
        <v>1230.5</v>
      </c>
    </row>
    <row r="328" spans="1:3" ht="14.4" x14ac:dyDescent="0.25">
      <c r="A328" s="21">
        <v>300</v>
      </c>
      <c r="B328" s="22">
        <v>25</v>
      </c>
      <c r="C328" s="21">
        <v>1331.5</v>
      </c>
    </row>
    <row r="329" spans="1:3" ht="14.4" x14ac:dyDescent="0.25">
      <c r="A329" s="23">
        <v>350</v>
      </c>
      <c r="B329" s="24">
        <v>25</v>
      </c>
      <c r="C329" s="23">
        <v>1626.4</v>
      </c>
    </row>
    <row r="330" spans="1:3" ht="14.4" x14ac:dyDescent="0.25">
      <c r="A330" s="21">
        <v>400</v>
      </c>
      <c r="B330" s="22">
        <v>25</v>
      </c>
      <c r="C330" s="21">
        <v>2583.1999999999998</v>
      </c>
    </row>
    <row r="331" spans="1:3" ht="14.4" x14ac:dyDescent="0.25">
      <c r="A331" s="23">
        <v>420</v>
      </c>
      <c r="B331" s="24">
        <v>25</v>
      </c>
      <c r="C331" s="23">
        <v>2730.76</v>
      </c>
    </row>
    <row r="332" spans="1:3" ht="14.4" x14ac:dyDescent="0.25">
      <c r="A332" s="21">
        <v>440</v>
      </c>
      <c r="B332" s="22">
        <v>25</v>
      </c>
      <c r="C332" s="21">
        <v>2878.32</v>
      </c>
    </row>
    <row r="333" spans="1:3" ht="14.4" x14ac:dyDescent="0.25">
      <c r="A333" s="23">
        <v>450</v>
      </c>
      <c r="B333" s="24">
        <v>25</v>
      </c>
      <c r="C333" s="23">
        <v>2952.1</v>
      </c>
    </row>
    <row r="334" spans="1:3" ht="14.4" x14ac:dyDescent="0.25">
      <c r="A334" s="21">
        <v>460</v>
      </c>
      <c r="B334" s="22">
        <v>25</v>
      </c>
      <c r="C334" s="21">
        <v>2994.68</v>
      </c>
    </row>
    <row r="335" spans="1:3" ht="14.4" x14ac:dyDescent="0.25">
      <c r="A335" s="23">
        <v>480</v>
      </c>
      <c r="B335" s="24">
        <v>25</v>
      </c>
      <c r="C335" s="23">
        <v>3079.84</v>
      </c>
    </row>
    <row r="336" spans="1:3" ht="14.4" x14ac:dyDescent="0.25">
      <c r="A336" s="21">
        <v>500</v>
      </c>
      <c r="B336" s="22">
        <v>25</v>
      </c>
      <c r="C336" s="21">
        <v>3165</v>
      </c>
    </row>
    <row r="337" spans="1:3" ht="14.4" x14ac:dyDescent="0.25">
      <c r="A337" s="23">
        <v>520</v>
      </c>
      <c r="B337" s="24">
        <v>25</v>
      </c>
      <c r="C337" s="23">
        <v>3237</v>
      </c>
    </row>
    <row r="338" spans="1:3" ht="14.4" x14ac:dyDescent="0.25">
      <c r="A338" s="21">
        <v>540</v>
      </c>
      <c r="B338" s="22">
        <v>25</v>
      </c>
      <c r="C338" s="21">
        <v>3304.7</v>
      </c>
    </row>
    <row r="339" spans="1:3" ht="14.4" x14ac:dyDescent="0.25">
      <c r="A339" s="23">
        <v>550</v>
      </c>
      <c r="B339" s="24">
        <v>25</v>
      </c>
      <c r="C339" s="23">
        <v>3337.3</v>
      </c>
    </row>
    <row r="340" spans="1:3" ht="14.4" x14ac:dyDescent="0.25">
      <c r="A340" s="21">
        <v>560</v>
      </c>
      <c r="B340" s="22">
        <v>25</v>
      </c>
      <c r="C340" s="21">
        <v>3369.2</v>
      </c>
    </row>
    <row r="341" spans="1:3" ht="14.4" x14ac:dyDescent="0.25">
      <c r="A341" s="23">
        <v>580</v>
      </c>
      <c r="B341" s="24">
        <v>25</v>
      </c>
      <c r="C341" s="23">
        <v>3431.2</v>
      </c>
    </row>
    <row r="342" spans="1:3" ht="14.4" x14ac:dyDescent="0.25">
      <c r="A342" s="21">
        <v>600</v>
      </c>
      <c r="B342" s="22">
        <v>25</v>
      </c>
      <c r="C342" s="21">
        <v>3491.2</v>
      </c>
    </row>
    <row r="343" spans="1:3" ht="14.4" x14ac:dyDescent="0.25">
      <c r="A343" s="23">
        <v>0</v>
      </c>
      <c r="B343" s="24">
        <v>30</v>
      </c>
      <c r="C343" s="23">
        <v>30</v>
      </c>
    </row>
    <row r="344" spans="1:3" ht="14.4" x14ac:dyDescent="0.25">
      <c r="A344" s="21">
        <v>10</v>
      </c>
      <c r="B344" s="22">
        <v>30</v>
      </c>
      <c r="C344" s="21">
        <v>70.8</v>
      </c>
    </row>
    <row r="345" spans="1:3" ht="14.4" x14ac:dyDescent="0.25">
      <c r="A345" s="23">
        <v>20</v>
      </c>
      <c r="B345" s="24">
        <v>30</v>
      </c>
      <c r="C345" s="23">
        <v>111.7</v>
      </c>
    </row>
    <row r="346" spans="1:3" ht="14.4" x14ac:dyDescent="0.25">
      <c r="A346" s="21">
        <v>40</v>
      </c>
      <c r="B346" s="22">
        <v>30</v>
      </c>
      <c r="C346" s="21">
        <v>193.8</v>
      </c>
    </row>
    <row r="347" spans="1:3" ht="14.4" x14ac:dyDescent="0.25">
      <c r="A347" s="23">
        <v>60</v>
      </c>
      <c r="B347" s="24">
        <v>30</v>
      </c>
      <c r="C347" s="23">
        <v>276.10000000000002</v>
      </c>
    </row>
    <row r="348" spans="1:3" ht="14.4" x14ac:dyDescent="0.25">
      <c r="A348" s="21">
        <v>80</v>
      </c>
      <c r="B348" s="22">
        <v>30</v>
      </c>
      <c r="C348" s="21">
        <v>358.7</v>
      </c>
    </row>
    <row r="349" spans="1:3" ht="14.4" x14ac:dyDescent="0.25">
      <c r="A349" s="23">
        <v>100</v>
      </c>
      <c r="B349" s="24">
        <v>30</v>
      </c>
      <c r="C349" s="23">
        <v>441.6</v>
      </c>
    </row>
    <row r="350" spans="1:3" ht="14.4" x14ac:dyDescent="0.25">
      <c r="A350" s="21">
        <v>120</v>
      </c>
      <c r="B350" s="22">
        <v>30</v>
      </c>
      <c r="C350" s="21">
        <v>524.9</v>
      </c>
    </row>
    <row r="351" spans="1:3" ht="14.4" x14ac:dyDescent="0.25">
      <c r="A351" s="23">
        <v>140</v>
      </c>
      <c r="B351" s="24">
        <v>30</v>
      </c>
      <c r="C351" s="23">
        <v>603.1</v>
      </c>
    </row>
    <row r="352" spans="1:3" ht="14.4" x14ac:dyDescent="0.25">
      <c r="A352" s="21">
        <v>160</v>
      </c>
      <c r="B352" s="22">
        <v>30</v>
      </c>
      <c r="C352" s="21">
        <v>693.3</v>
      </c>
    </row>
    <row r="353" spans="1:3" ht="14.4" x14ac:dyDescent="0.25">
      <c r="A353" s="23">
        <v>180</v>
      </c>
      <c r="B353" s="24">
        <v>30</v>
      </c>
      <c r="C353" s="23">
        <v>778.7</v>
      </c>
    </row>
    <row r="354" spans="1:3" ht="14.4" x14ac:dyDescent="0.25">
      <c r="A354" s="21">
        <v>200</v>
      </c>
      <c r="B354" s="22">
        <v>30</v>
      </c>
      <c r="C354" s="21">
        <v>856.2</v>
      </c>
    </row>
    <row r="355" spans="1:3" ht="14.4" x14ac:dyDescent="0.25">
      <c r="A355" s="23">
        <v>220</v>
      </c>
      <c r="B355" s="24">
        <v>30</v>
      </c>
      <c r="C355" s="23">
        <v>953.1</v>
      </c>
    </row>
    <row r="356" spans="1:3" ht="14.4" x14ac:dyDescent="0.25">
      <c r="A356" s="21">
        <v>240</v>
      </c>
      <c r="B356" s="22">
        <v>30</v>
      </c>
      <c r="C356" s="21">
        <v>1024.8</v>
      </c>
    </row>
    <row r="357" spans="1:3" ht="14.4" x14ac:dyDescent="0.25">
      <c r="A357" s="23">
        <v>260</v>
      </c>
      <c r="B357" s="24">
        <v>30</v>
      </c>
      <c r="C357" s="23">
        <v>1134.8</v>
      </c>
    </row>
    <row r="358" spans="1:3" ht="14.4" x14ac:dyDescent="0.25">
      <c r="A358" s="21">
        <v>280</v>
      </c>
      <c r="B358" s="22">
        <v>30</v>
      </c>
      <c r="C358" s="21">
        <v>1229.9000000000001</v>
      </c>
    </row>
    <row r="359" spans="1:3" ht="14.4" x14ac:dyDescent="0.25">
      <c r="A359" s="23">
        <v>300</v>
      </c>
      <c r="B359" s="24">
        <v>30</v>
      </c>
      <c r="C359" s="23">
        <v>1329</v>
      </c>
    </row>
    <row r="360" spans="1:3" ht="14.4" x14ac:dyDescent="0.25">
      <c r="A360" s="21">
        <v>350</v>
      </c>
      <c r="B360" s="22">
        <v>30</v>
      </c>
      <c r="C360" s="21">
        <v>1611.3</v>
      </c>
    </row>
    <row r="361" spans="1:3" ht="14.4" x14ac:dyDescent="0.25">
      <c r="A361" s="23">
        <v>400</v>
      </c>
      <c r="B361" s="24">
        <v>30</v>
      </c>
      <c r="C361" s="23">
        <v>2159.1</v>
      </c>
    </row>
    <row r="362" spans="1:3" ht="14.4" x14ac:dyDescent="0.25">
      <c r="A362" s="21">
        <v>420</v>
      </c>
      <c r="B362" s="22">
        <v>30</v>
      </c>
      <c r="C362" s="21">
        <v>2424.6999999999998</v>
      </c>
    </row>
    <row r="363" spans="1:3" ht="14.4" x14ac:dyDescent="0.25">
      <c r="A363" s="23">
        <v>440</v>
      </c>
      <c r="B363" s="24">
        <v>30</v>
      </c>
      <c r="C363" s="23">
        <v>2690.3</v>
      </c>
    </row>
    <row r="364" spans="1:3" ht="14.4" x14ac:dyDescent="0.25">
      <c r="A364" s="21">
        <v>450</v>
      </c>
      <c r="B364" s="22">
        <v>30</v>
      </c>
      <c r="C364" s="21">
        <v>2823.1</v>
      </c>
    </row>
    <row r="365" spans="1:3" ht="14.4" x14ac:dyDescent="0.25">
      <c r="A365" s="23">
        <v>460</v>
      </c>
      <c r="B365" s="24">
        <v>30</v>
      </c>
      <c r="C365" s="23">
        <v>2875.26</v>
      </c>
    </row>
    <row r="366" spans="1:3" ht="14.4" x14ac:dyDescent="0.25">
      <c r="A366" s="21">
        <v>480</v>
      </c>
      <c r="B366" s="22">
        <v>30</v>
      </c>
      <c r="C366" s="21">
        <v>2979.58</v>
      </c>
    </row>
    <row r="367" spans="1:3" ht="14.4" x14ac:dyDescent="0.25">
      <c r="A367" s="23">
        <v>500</v>
      </c>
      <c r="B367" s="24">
        <v>30</v>
      </c>
      <c r="C367" s="23">
        <v>3083.9</v>
      </c>
    </row>
    <row r="368" spans="1:3" ht="14.4" x14ac:dyDescent="0.25">
      <c r="A368" s="21">
        <v>520</v>
      </c>
      <c r="B368" s="22">
        <v>30</v>
      </c>
      <c r="C368" s="21">
        <v>3166.1</v>
      </c>
    </row>
    <row r="369" spans="1:3" ht="14.4" x14ac:dyDescent="0.25">
      <c r="A369" s="23">
        <v>540</v>
      </c>
      <c r="B369" s="24">
        <v>30</v>
      </c>
      <c r="C369" s="23">
        <v>3241.7</v>
      </c>
    </row>
    <row r="370" spans="1:3" ht="14.4" x14ac:dyDescent="0.25">
      <c r="A370" s="21">
        <v>550</v>
      </c>
      <c r="B370" s="22">
        <v>30</v>
      </c>
      <c r="C370" s="21">
        <v>3277.7</v>
      </c>
    </row>
    <row r="371" spans="1:3" ht="14.4" x14ac:dyDescent="0.25">
      <c r="A371" s="23">
        <v>560</v>
      </c>
      <c r="B371" s="24">
        <v>30</v>
      </c>
      <c r="C371" s="23">
        <v>3312.6</v>
      </c>
    </row>
    <row r="372" spans="1:3" ht="14.4" x14ac:dyDescent="0.25">
      <c r="A372" s="21">
        <v>580</v>
      </c>
      <c r="B372" s="22">
        <v>30</v>
      </c>
      <c r="C372" s="21">
        <v>3379.8</v>
      </c>
    </row>
    <row r="373" spans="1:3" ht="14.4" x14ac:dyDescent="0.25">
      <c r="A373" s="23">
        <v>600</v>
      </c>
      <c r="B373" s="24">
        <v>30</v>
      </c>
      <c r="C373" s="23">
        <v>3444.2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CEB2-D471-400B-9D9F-2F517F3A729D}">
  <sheetPr codeName="Sheet7"/>
  <dimension ref="A1:I3"/>
  <sheetViews>
    <sheetView workbookViewId="0">
      <selection activeCell="G3" sqref="G3"/>
    </sheetView>
  </sheetViews>
  <sheetFormatPr defaultRowHeight="13.8" x14ac:dyDescent="0.25"/>
  <cols>
    <col min="1" max="1" width="16.109375" bestFit="1" customWidth="1"/>
    <col min="2" max="2" width="16.21875" customWidth="1"/>
    <col min="3" max="3" width="29.88671875" bestFit="1" customWidth="1"/>
    <col min="4" max="4" width="40.109375" bestFit="1" customWidth="1"/>
    <col min="5" max="5" width="34.5546875" bestFit="1" customWidth="1"/>
    <col min="6" max="7" width="19.109375" customWidth="1"/>
    <col min="9" max="9" width="60" customWidth="1"/>
  </cols>
  <sheetData>
    <row r="1" spans="1:9" x14ac:dyDescent="0.25">
      <c r="A1" t="s">
        <v>82</v>
      </c>
      <c r="B1" t="s">
        <v>86</v>
      </c>
      <c r="C1" t="s">
        <v>87</v>
      </c>
      <c r="D1" t="s">
        <v>88</v>
      </c>
      <c r="E1" t="s">
        <v>89</v>
      </c>
      <c r="F1" t="s">
        <v>21</v>
      </c>
      <c r="G1" t="s">
        <v>49</v>
      </c>
      <c r="H1" t="s">
        <v>22</v>
      </c>
      <c r="I1" t="s">
        <v>56</v>
      </c>
    </row>
    <row r="2" spans="1:9" x14ac:dyDescent="0.25">
      <c r="A2" t="s">
        <v>83</v>
      </c>
      <c r="B2" t="s">
        <v>54</v>
      </c>
      <c r="C2">
        <v>0.4</v>
      </c>
      <c r="D2">
        <v>0.4</v>
      </c>
      <c r="E2">
        <v>0.95</v>
      </c>
      <c r="F2">
        <f>C2*D2*E2*44/22</f>
        <v>0.30400000000000005</v>
      </c>
      <c r="G2" t="s">
        <v>90</v>
      </c>
      <c r="H2" t="s">
        <v>23</v>
      </c>
      <c r="I2" t="s">
        <v>61</v>
      </c>
    </row>
    <row r="3" spans="1:9" x14ac:dyDescent="0.25">
      <c r="A3" t="s">
        <v>84</v>
      </c>
      <c r="B3" t="s">
        <v>55</v>
      </c>
      <c r="C3">
        <v>0.5</v>
      </c>
      <c r="D3">
        <v>0.9</v>
      </c>
      <c r="E3">
        <v>0.995</v>
      </c>
      <c r="F3">
        <f>C3*D3*E3*44/22</f>
        <v>0.89550000000000007</v>
      </c>
      <c r="G3" t="s">
        <v>90</v>
      </c>
      <c r="H3" t="s">
        <v>23</v>
      </c>
      <c r="I3" t="s">
        <v>61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2DA2-CB64-45C8-94A0-00592899C541}">
  <sheetPr codeName="Sheet8"/>
  <dimension ref="A1:K7"/>
  <sheetViews>
    <sheetView tabSelected="1" topLeftCell="D1" workbookViewId="0">
      <selection activeCell="F11" sqref="F11"/>
    </sheetView>
  </sheetViews>
  <sheetFormatPr defaultRowHeight="13.8" x14ac:dyDescent="0.25"/>
  <cols>
    <col min="1" max="1" width="36" customWidth="1"/>
    <col min="2" max="2" width="25.44140625" customWidth="1"/>
    <col min="3" max="3" width="19.77734375" customWidth="1"/>
    <col min="4" max="4" width="29.33203125" bestFit="1" customWidth="1"/>
    <col min="5" max="5" width="19.109375" bestFit="1" customWidth="1"/>
    <col min="6" max="6" width="27.109375" customWidth="1"/>
    <col min="7" max="7" width="28.77734375" customWidth="1"/>
    <col min="8" max="8" width="12.21875" bestFit="1" customWidth="1"/>
    <col min="9" max="9" width="12.21875" customWidth="1"/>
    <col min="11" max="11" width="43.77734375" customWidth="1"/>
  </cols>
  <sheetData>
    <row r="1" spans="1:11" x14ac:dyDescent="0.25">
      <c r="A1" t="s">
        <v>82</v>
      </c>
      <c r="B1" t="s">
        <v>59</v>
      </c>
      <c r="C1" t="s">
        <v>58</v>
      </c>
      <c r="D1" s="25" t="s">
        <v>92</v>
      </c>
      <c r="E1" t="s">
        <v>93</v>
      </c>
      <c r="F1" t="s">
        <v>94</v>
      </c>
      <c r="G1" t="s">
        <v>95</v>
      </c>
      <c r="H1" t="s">
        <v>76</v>
      </c>
      <c r="I1" t="s">
        <v>49</v>
      </c>
      <c r="J1" t="s">
        <v>22</v>
      </c>
      <c r="K1" t="s">
        <v>56</v>
      </c>
    </row>
    <row r="2" spans="1:11" x14ac:dyDescent="0.25">
      <c r="A2" t="s">
        <v>77</v>
      </c>
      <c r="B2" t="s">
        <v>57</v>
      </c>
      <c r="C2" t="s">
        <v>62</v>
      </c>
      <c r="D2">
        <v>500</v>
      </c>
      <c r="E2">
        <v>0.25</v>
      </c>
      <c r="F2">
        <v>0.9</v>
      </c>
      <c r="G2">
        <v>28</v>
      </c>
      <c r="H2">
        <f>D2*E2*F2*G2/1000000</f>
        <v>3.15E-3</v>
      </c>
      <c r="I2" t="s">
        <v>91</v>
      </c>
      <c r="J2" t="s">
        <v>23</v>
      </c>
      <c r="K2" t="s">
        <v>66</v>
      </c>
    </row>
    <row r="3" spans="1:11" x14ac:dyDescent="0.25">
      <c r="A3" t="s">
        <v>77</v>
      </c>
      <c r="B3" t="s">
        <v>57</v>
      </c>
      <c r="C3" t="s">
        <v>63</v>
      </c>
      <c r="D3">
        <v>500</v>
      </c>
      <c r="E3">
        <v>0.25</v>
      </c>
      <c r="F3">
        <v>0.1</v>
      </c>
      <c r="G3">
        <v>28</v>
      </c>
      <c r="H3">
        <f t="shared" ref="H3:H7" si="0">D3*E3*F3*G3/1000000</f>
        <v>3.5E-4</v>
      </c>
      <c r="I3" t="s">
        <v>91</v>
      </c>
      <c r="J3" t="s">
        <v>23</v>
      </c>
      <c r="K3" t="s">
        <v>66</v>
      </c>
    </row>
    <row r="4" spans="1:11" x14ac:dyDescent="0.25">
      <c r="A4" t="s">
        <v>78</v>
      </c>
      <c r="B4" t="s">
        <v>57</v>
      </c>
      <c r="C4" t="s">
        <v>65</v>
      </c>
      <c r="D4">
        <v>500</v>
      </c>
      <c r="E4">
        <v>0.25</v>
      </c>
      <c r="F4">
        <v>0.05</v>
      </c>
      <c r="G4">
        <v>28</v>
      </c>
      <c r="H4">
        <f t="shared" si="0"/>
        <v>1.75E-4</v>
      </c>
      <c r="I4" t="s">
        <v>91</v>
      </c>
      <c r="J4" t="s">
        <v>23</v>
      </c>
      <c r="K4" t="s">
        <v>66</v>
      </c>
    </row>
    <row r="5" spans="1:11" x14ac:dyDescent="0.25">
      <c r="A5" t="s">
        <v>79</v>
      </c>
      <c r="B5" t="s">
        <v>64</v>
      </c>
      <c r="C5" t="s">
        <v>60</v>
      </c>
      <c r="D5">
        <v>200</v>
      </c>
      <c r="E5">
        <v>0.6</v>
      </c>
      <c r="F5">
        <v>0.3</v>
      </c>
      <c r="G5">
        <v>28</v>
      </c>
      <c r="H5">
        <f t="shared" si="0"/>
        <v>1.008E-3</v>
      </c>
      <c r="I5" t="s">
        <v>91</v>
      </c>
      <c r="J5" t="s">
        <v>23</v>
      </c>
      <c r="K5" t="s">
        <v>67</v>
      </c>
    </row>
    <row r="6" spans="1:11" x14ac:dyDescent="0.25">
      <c r="A6" t="s">
        <v>80</v>
      </c>
      <c r="B6" t="s">
        <v>64</v>
      </c>
      <c r="C6" t="s">
        <v>62</v>
      </c>
      <c r="D6">
        <v>200</v>
      </c>
      <c r="E6">
        <v>0.6</v>
      </c>
      <c r="F6">
        <v>0.9</v>
      </c>
      <c r="G6">
        <v>28</v>
      </c>
      <c r="H6">
        <f t="shared" si="0"/>
        <v>3.0240000000000002E-3</v>
      </c>
      <c r="I6" t="s">
        <v>91</v>
      </c>
      <c r="J6" t="s">
        <v>23</v>
      </c>
      <c r="K6" t="s">
        <v>68</v>
      </c>
    </row>
    <row r="7" spans="1:11" x14ac:dyDescent="0.25">
      <c r="A7" t="s">
        <v>81</v>
      </c>
      <c r="B7" t="s">
        <v>64</v>
      </c>
      <c r="C7" t="s">
        <v>63</v>
      </c>
      <c r="D7">
        <v>200</v>
      </c>
      <c r="E7">
        <v>0.6</v>
      </c>
      <c r="F7">
        <v>0.05</v>
      </c>
      <c r="G7">
        <v>28</v>
      </c>
      <c r="H7">
        <f t="shared" si="0"/>
        <v>1.6799999999999999E-4</v>
      </c>
      <c r="I7" t="s">
        <v>91</v>
      </c>
      <c r="J7" t="s">
        <v>23</v>
      </c>
      <c r="K7" t="s">
        <v>69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化石燃料排放因子库</vt:lpstr>
      <vt:lpstr>电力碳排放因子库</vt:lpstr>
      <vt:lpstr>热力排放因子</vt:lpstr>
      <vt:lpstr>质量单位计量的热水</vt:lpstr>
      <vt:lpstr>饱和蒸汽热焓值</vt:lpstr>
      <vt:lpstr>过热蒸汽热焓值</vt:lpstr>
      <vt:lpstr>固体废弃物焚烧排放因子</vt:lpstr>
      <vt:lpstr>废水处理排放因子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兰刚</dc:creator>
  <cp:lastModifiedBy>173435880@qq.com</cp:lastModifiedBy>
  <dcterms:created xsi:type="dcterms:W3CDTF">2015-06-05T18:19:34Z</dcterms:created>
  <dcterms:modified xsi:type="dcterms:W3CDTF">2026-06-06T12:34:04Z</dcterms:modified>
</cp:coreProperties>
</file>